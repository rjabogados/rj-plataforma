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993BC16-B851-4FDF-9DF5-EFE54002DC2F}" xr6:coauthVersionLast="47" xr6:coauthVersionMax="47" xr10:uidLastSave="{00000000-0000-0000-0000-000000000000}"/>
  <bookViews>
    <workbookView xWindow="28680" yWindow="1065" windowWidth="20730" windowHeight="11160" xr2:uid="{791E1E1E-588E-4A5B-8B54-FC185D2A96AD}"/>
  </bookViews>
  <sheets>
    <sheet name="Base" sheetId="1" r:id="rId1"/>
  </sheets>
  <definedNames>
    <definedName name="_xlnm._FilterDatabase" localSheetId="0" hidden="1">Base!$A$1:$T$297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84" i="1" l="1"/>
  <c r="P284" i="1" s="1"/>
  <c r="O91" i="1" l="1"/>
  <c r="P91" i="1" s="1"/>
  <c r="O208" i="1"/>
  <c r="P208" i="1" s="1"/>
  <c r="O232" i="1"/>
  <c r="P232" i="1" s="1"/>
  <c r="O240" i="1"/>
  <c r="P240" i="1" s="1"/>
  <c r="O242" i="1"/>
  <c r="P242" i="1" s="1"/>
  <c r="O44" i="1"/>
  <c r="P44" i="1" s="1"/>
  <c r="O166" i="1"/>
  <c r="P166" i="1" s="1"/>
  <c r="O70" i="1"/>
  <c r="P70" i="1" s="1"/>
  <c r="O186" i="1"/>
  <c r="P186" i="1" s="1"/>
  <c r="O273" i="1"/>
  <c r="P273" i="1" s="1"/>
  <c r="O197" i="1"/>
  <c r="P197" i="1" s="1"/>
  <c r="O96" i="1"/>
  <c r="P96" i="1" s="1"/>
  <c r="O115" i="1"/>
  <c r="P115" i="1" s="1"/>
  <c r="O22" i="1"/>
  <c r="P22" i="1" s="1"/>
  <c r="O38" i="1"/>
  <c r="P38" i="1" s="1"/>
  <c r="O40" i="1"/>
  <c r="P40" i="1" s="1"/>
  <c r="O156" i="1"/>
  <c r="P156" i="1" s="1"/>
  <c r="O82" i="1"/>
  <c r="P82" i="1" s="1"/>
  <c r="O187" i="1"/>
  <c r="P187" i="1" s="1"/>
  <c r="O275" i="1"/>
  <c r="P275" i="1" s="1"/>
  <c r="O15" i="1"/>
  <c r="P15" i="1" s="1"/>
  <c r="O17" i="1"/>
  <c r="P17" i="1" s="1"/>
  <c r="O117" i="1"/>
  <c r="P117" i="1" s="1"/>
  <c r="O125" i="1"/>
  <c r="P125" i="1" s="1"/>
  <c r="O147" i="1"/>
  <c r="P147" i="1" s="1"/>
  <c r="O154" i="1"/>
  <c r="P154" i="1" s="1"/>
  <c r="O60" i="1"/>
  <c r="P60" i="1" s="1"/>
  <c r="O90" i="1"/>
  <c r="P90" i="1" s="1"/>
  <c r="O195" i="1"/>
  <c r="P195" i="1" s="1"/>
  <c r="O294" i="1"/>
  <c r="P294" i="1" s="1"/>
  <c r="O287" i="1"/>
  <c r="P287" i="1" s="1"/>
  <c r="O279" i="1"/>
  <c r="P279" i="1" s="1"/>
  <c r="O274" i="1"/>
  <c r="P274" i="1" s="1"/>
  <c r="O271" i="1"/>
  <c r="P271" i="1" s="1"/>
  <c r="O269" i="1"/>
  <c r="P269" i="1" s="1"/>
  <c r="O265" i="1"/>
  <c r="P265" i="1" s="1"/>
  <c r="O261" i="1"/>
  <c r="P261" i="1" s="1"/>
  <c r="O256" i="1"/>
  <c r="P256" i="1" s="1"/>
  <c r="O251" i="1"/>
  <c r="P251" i="1" s="1"/>
  <c r="O245" i="1"/>
  <c r="P245" i="1" s="1"/>
  <c r="O241" i="1"/>
  <c r="P241" i="1" s="1"/>
  <c r="O235" i="1"/>
  <c r="P235" i="1" s="1"/>
  <c r="O231" i="1"/>
  <c r="P231" i="1" s="1"/>
  <c r="O225" i="1"/>
  <c r="P225" i="1" s="1"/>
  <c r="O219" i="1"/>
  <c r="P219" i="1" s="1"/>
  <c r="O213" i="1"/>
  <c r="P213" i="1" s="1"/>
  <c r="O202" i="1"/>
  <c r="P202" i="1" s="1"/>
  <c r="O196" i="1"/>
  <c r="P196" i="1" s="1"/>
  <c r="O191" i="1"/>
  <c r="P191" i="1" s="1"/>
  <c r="O185" i="1"/>
  <c r="P185" i="1" s="1"/>
  <c r="O181" i="1"/>
  <c r="P181" i="1" s="1"/>
  <c r="O176" i="1"/>
  <c r="P176" i="1" s="1"/>
  <c r="O171" i="1"/>
  <c r="P171" i="1" s="1"/>
  <c r="O165" i="1"/>
  <c r="P165" i="1" s="1"/>
  <c r="O160" i="1"/>
  <c r="P160" i="1" s="1"/>
  <c r="O155" i="1"/>
  <c r="P155" i="1" s="1"/>
  <c r="O150" i="1"/>
  <c r="P150" i="1" s="1"/>
  <c r="O145" i="1"/>
  <c r="P145" i="1" s="1"/>
  <c r="O139" i="1"/>
  <c r="P139" i="1" s="1"/>
  <c r="O134" i="1"/>
  <c r="P134" i="1" s="1"/>
  <c r="O119" i="1"/>
  <c r="P119" i="1" s="1"/>
  <c r="O113" i="1"/>
  <c r="P113" i="1" s="1"/>
  <c r="O107" i="1"/>
  <c r="P107" i="1" s="1"/>
  <c r="O103" i="1"/>
  <c r="P103" i="1" s="1"/>
  <c r="O97" i="1"/>
  <c r="P97" i="1" s="1"/>
  <c r="O85" i="1"/>
  <c r="P85" i="1" s="1"/>
  <c r="O79" i="1"/>
  <c r="P79" i="1" s="1"/>
  <c r="O73" i="1"/>
  <c r="P73" i="1" s="1"/>
  <c r="O67" i="1"/>
  <c r="P67" i="1" s="1"/>
  <c r="O62" i="1"/>
  <c r="P62" i="1" s="1"/>
  <c r="O58" i="1"/>
  <c r="P58" i="1" s="1"/>
  <c r="O52" i="1"/>
  <c r="P52" i="1" s="1"/>
  <c r="O46" i="1"/>
  <c r="P46" i="1" s="1"/>
  <c r="O42" i="1"/>
  <c r="P42" i="1" s="1"/>
  <c r="O33" i="1"/>
  <c r="P33" i="1" s="1"/>
  <c r="O28" i="1"/>
  <c r="P28" i="1" s="1"/>
  <c r="O23" i="1"/>
  <c r="P23" i="1" s="1"/>
  <c r="O14" i="1"/>
  <c r="P14" i="1" s="1"/>
  <c r="O10" i="1"/>
  <c r="P10" i="1" s="1"/>
  <c r="O5" i="1"/>
  <c r="P5" i="1" s="1"/>
  <c r="O297" i="1"/>
  <c r="P297" i="1" s="1"/>
  <c r="O283" i="1"/>
  <c r="P283" i="1" s="1"/>
  <c r="O258" i="1"/>
  <c r="P258" i="1" s="1"/>
  <c r="O250" i="1"/>
  <c r="P250" i="1" s="1"/>
  <c r="O237" i="1"/>
  <c r="P237" i="1" s="1"/>
  <c r="O230" i="1"/>
  <c r="P230" i="1" s="1"/>
  <c r="O215" i="1"/>
  <c r="P215" i="1" s="1"/>
  <c r="O207" i="1"/>
  <c r="P207" i="1" s="1"/>
  <c r="O193" i="1"/>
  <c r="P193" i="1" s="1"/>
  <c r="O173" i="1"/>
  <c r="P173" i="1" s="1"/>
  <c r="O164" i="1"/>
  <c r="P164" i="1" s="1"/>
  <c r="O152" i="1"/>
  <c r="P152" i="1" s="1"/>
  <c r="O144" i="1"/>
  <c r="P144" i="1" s="1"/>
  <c r="O130" i="1"/>
  <c r="P130" i="1" s="1"/>
  <c r="O109" i="1"/>
  <c r="P109" i="1" s="1"/>
  <c r="O102" i="1"/>
  <c r="P102" i="1" s="1"/>
  <c r="O84" i="1"/>
  <c r="P84" i="1" s="1"/>
  <c r="O69" i="1"/>
  <c r="P69" i="1" s="1"/>
  <c r="O63" i="1"/>
  <c r="P63" i="1" s="1"/>
  <c r="O288" i="1"/>
  <c r="P288" i="1" s="1"/>
  <c r="O282" i="1"/>
  <c r="P282" i="1" s="1"/>
  <c r="O272" i="1"/>
  <c r="P272" i="1" s="1"/>
  <c r="O249" i="1"/>
  <c r="P249" i="1" s="1"/>
  <c r="O236" i="1"/>
  <c r="P236" i="1" s="1"/>
  <c r="O108" i="1"/>
  <c r="P108" i="1" s="1"/>
  <c r="O68" i="1"/>
  <c r="P68" i="1" s="1"/>
  <c r="O276" i="1"/>
  <c r="P276" i="1" s="1"/>
  <c r="O255" i="1"/>
  <c r="P255" i="1" s="1"/>
  <c r="O243" i="1"/>
  <c r="P243" i="1" s="1"/>
  <c r="O234" i="1"/>
  <c r="P234" i="1" s="1"/>
  <c r="O221" i="1"/>
  <c r="P221" i="1" s="1"/>
  <c r="O212" i="1"/>
  <c r="P212" i="1" s="1"/>
  <c r="O198" i="1"/>
  <c r="P198" i="1" s="1"/>
  <c r="O190" i="1"/>
  <c r="P190" i="1" s="1"/>
  <c r="O178" i="1"/>
  <c r="P178" i="1" s="1"/>
  <c r="O170" i="1"/>
  <c r="P170" i="1" s="1"/>
  <c r="O149" i="1"/>
  <c r="P149" i="1" s="1"/>
  <c r="O292" i="1"/>
  <c r="P292" i="1" s="1"/>
  <c r="O262" i="1"/>
  <c r="P262" i="1" s="1"/>
  <c r="O244" i="1"/>
  <c r="P244" i="1" s="1"/>
  <c r="O222" i="1"/>
  <c r="P222" i="1" s="1"/>
  <c r="O199" i="1"/>
  <c r="P199" i="1" s="1"/>
  <c r="O158" i="1"/>
  <c r="P158" i="1" s="1"/>
  <c r="O136" i="1"/>
  <c r="P136" i="1" s="1"/>
  <c r="O116" i="1"/>
  <c r="P116" i="1" s="1"/>
  <c r="O95" i="1"/>
  <c r="P95" i="1" s="1"/>
  <c r="O76" i="1"/>
  <c r="P76" i="1" s="1"/>
  <c r="O61" i="1"/>
  <c r="P61" i="1" s="1"/>
  <c r="O56" i="1"/>
  <c r="P56" i="1" s="1"/>
  <c r="O49" i="1"/>
  <c r="P49" i="1" s="1"/>
  <c r="O39" i="1"/>
  <c r="P39" i="1" s="1"/>
  <c r="O16" i="1"/>
  <c r="P16" i="1" s="1"/>
  <c r="O11" i="1"/>
  <c r="P11" i="1" s="1"/>
  <c r="O4" i="1"/>
  <c r="P4" i="1" s="1"/>
  <c r="O257" i="1"/>
  <c r="P257" i="1" s="1"/>
  <c r="O229" i="1"/>
  <c r="P229" i="1" s="1"/>
  <c r="O214" i="1"/>
  <c r="P214" i="1" s="1"/>
  <c r="O192" i="1"/>
  <c r="P192" i="1" s="1"/>
  <c r="O184" i="1"/>
  <c r="P184" i="1" s="1"/>
  <c r="O172" i="1"/>
  <c r="P172" i="1" s="1"/>
  <c r="O163" i="1"/>
  <c r="P163" i="1" s="1"/>
  <c r="O151" i="1"/>
  <c r="P151" i="1" s="1"/>
  <c r="O143" i="1"/>
  <c r="P143" i="1" s="1"/>
  <c r="O129" i="1"/>
  <c r="P129" i="1" s="1"/>
  <c r="O206" i="1"/>
  <c r="P206" i="1" s="1"/>
  <c r="O123" i="1"/>
  <c r="P123" i="1" s="1"/>
  <c r="O101" i="1"/>
  <c r="P101" i="1" s="1"/>
  <c r="O83" i="1"/>
  <c r="P83" i="1" s="1"/>
  <c r="O291" i="1"/>
  <c r="P291" i="1" s="1"/>
  <c r="O128" i="1"/>
  <c r="P128" i="1" s="1"/>
  <c r="O290" i="1"/>
  <c r="P290" i="1" s="1"/>
  <c r="O281" i="1"/>
  <c r="P281" i="1" s="1"/>
  <c r="O268" i="1"/>
  <c r="P268" i="1" s="1"/>
  <c r="O260" i="1"/>
  <c r="P260" i="1" s="1"/>
  <c r="O248" i="1"/>
  <c r="P248" i="1" s="1"/>
  <c r="O239" i="1"/>
  <c r="P239" i="1" s="1"/>
  <c r="O228" i="1"/>
  <c r="P228" i="1" s="1"/>
  <c r="O217" i="1"/>
  <c r="P217" i="1" s="1"/>
  <c r="O205" i="1"/>
  <c r="P205" i="1" s="1"/>
  <c r="O194" i="1"/>
  <c r="P194" i="1" s="1"/>
  <c r="O174" i="1"/>
  <c r="P174" i="1" s="1"/>
  <c r="O162" i="1"/>
  <c r="P162" i="1" s="1"/>
  <c r="O146" i="1"/>
  <c r="P146" i="1" s="1"/>
  <c r="O124" i="1"/>
  <c r="P124" i="1" s="1"/>
  <c r="O114" i="1"/>
  <c r="P114" i="1" s="1"/>
  <c r="O89" i="1"/>
  <c r="P89" i="1" s="1"/>
  <c r="O80" i="1"/>
  <c r="P80" i="1" s="1"/>
  <c r="O59" i="1"/>
  <c r="P59" i="1" s="1"/>
  <c r="O37" i="1"/>
  <c r="P37" i="1" s="1"/>
  <c r="O21" i="1"/>
  <c r="P21" i="1" s="1"/>
  <c r="O296" i="1"/>
  <c r="P296" i="1" s="1"/>
  <c r="O280" i="1"/>
  <c r="P280" i="1" s="1"/>
  <c r="O267" i="1"/>
  <c r="P267" i="1" s="1"/>
  <c r="O247" i="1"/>
  <c r="P247" i="1" s="1"/>
  <c r="O238" i="1"/>
  <c r="P238" i="1" s="1"/>
  <c r="O227" i="1"/>
  <c r="P227" i="1" s="1"/>
  <c r="O216" i="1"/>
  <c r="P216" i="1" s="1"/>
  <c r="O204" i="1"/>
  <c r="P204" i="1" s="1"/>
  <c r="O183" i="1"/>
  <c r="P183" i="1" s="1"/>
  <c r="O161" i="1"/>
  <c r="P161" i="1" s="1"/>
  <c r="O88" i="1"/>
  <c r="P88" i="1" s="1"/>
  <c r="O36" i="1"/>
  <c r="P36" i="1" s="1"/>
  <c r="O111" i="1"/>
  <c r="P111" i="1" s="1"/>
  <c r="O94" i="1"/>
  <c r="P94" i="1" s="1"/>
  <c r="O65" i="1"/>
  <c r="P65" i="1" s="1"/>
  <c r="O278" i="1"/>
  <c r="P278" i="1" s="1"/>
  <c r="O201" i="1"/>
  <c r="P201" i="1" s="1"/>
  <c r="O120" i="1"/>
  <c r="P120" i="1" s="1"/>
  <c r="O64" i="1"/>
  <c r="P64" i="1" s="1"/>
  <c r="O12" i="1"/>
  <c r="P12" i="1" s="1"/>
  <c r="O277" i="1"/>
  <c r="P277" i="1" s="1"/>
  <c r="O55" i="1"/>
  <c r="P55" i="1" s="1"/>
  <c r="O137" i="1"/>
  <c r="P137" i="1" s="1"/>
  <c r="O153" i="1"/>
  <c r="P153" i="1" s="1"/>
  <c r="O142" i="1"/>
  <c r="P142" i="1" s="1"/>
  <c r="O132" i="1"/>
  <c r="P132" i="1" s="1"/>
  <c r="O112" i="1"/>
  <c r="P112" i="1" s="1"/>
  <c r="O78" i="1"/>
  <c r="P78" i="1" s="1"/>
  <c r="O51" i="1"/>
  <c r="P51" i="1" s="1"/>
  <c r="O43" i="1"/>
  <c r="P43" i="1" s="1"/>
  <c r="O29" i="1"/>
  <c r="P29" i="1" s="1"/>
  <c r="O20" i="1"/>
  <c r="P20" i="1" s="1"/>
  <c r="O7" i="1"/>
  <c r="P7" i="1" s="1"/>
  <c r="O289" i="1"/>
  <c r="P289" i="1" s="1"/>
  <c r="O66" i="1"/>
  <c r="P66" i="1" s="1"/>
  <c r="O131" i="1"/>
  <c r="P131" i="1" s="1"/>
  <c r="O6" i="1"/>
  <c r="P6" i="1" s="1"/>
  <c r="O295" i="1"/>
  <c r="P295" i="1" s="1"/>
  <c r="O266" i="1"/>
  <c r="P266" i="1" s="1"/>
  <c r="O203" i="1"/>
  <c r="P203" i="1" s="1"/>
  <c r="O182" i="1"/>
  <c r="P182" i="1" s="1"/>
  <c r="O121" i="1"/>
  <c r="P121" i="1" s="1"/>
  <c r="O87" i="1"/>
  <c r="P87" i="1" s="1"/>
  <c r="O264" i="1"/>
  <c r="P264" i="1" s="1"/>
  <c r="O224" i="1"/>
  <c r="P224" i="1" s="1"/>
  <c r="O189" i="1"/>
  <c r="P189" i="1" s="1"/>
  <c r="O169" i="1"/>
  <c r="P169" i="1" s="1"/>
  <c r="O110" i="1"/>
  <c r="P110" i="1" s="1"/>
  <c r="O148" i="1"/>
  <c r="P148" i="1" s="1"/>
  <c r="O127" i="1"/>
  <c r="P127" i="1" s="1"/>
  <c r="O86" i="1"/>
  <c r="P86" i="1" s="1"/>
  <c r="O57" i="1"/>
  <c r="P57" i="1" s="1"/>
  <c r="O25" i="1"/>
  <c r="P25" i="1" s="1"/>
  <c r="O293" i="1"/>
  <c r="P293" i="1" s="1"/>
  <c r="O263" i="1"/>
  <c r="P263" i="1" s="1"/>
  <c r="O223" i="1"/>
  <c r="P223" i="1" s="1"/>
  <c r="O200" i="1"/>
  <c r="P200" i="1" s="1"/>
  <c r="O179" i="1"/>
  <c r="P179" i="1" s="1"/>
  <c r="O72" i="1"/>
  <c r="P72" i="1" s="1"/>
  <c r="O32" i="1"/>
  <c r="P32" i="1" s="1"/>
  <c r="O18" i="1"/>
  <c r="P18" i="1" s="1"/>
  <c r="O157" i="1"/>
  <c r="P157" i="1" s="1"/>
  <c r="O259" i="1"/>
  <c r="P259" i="1" s="1"/>
  <c r="O122" i="1"/>
  <c r="P122" i="1" s="1"/>
  <c r="O141" i="1"/>
  <c r="P141" i="1" s="1"/>
  <c r="O104" i="1"/>
  <c r="P104" i="1" s="1"/>
  <c r="O77" i="1"/>
  <c r="P77" i="1" s="1"/>
  <c r="O50" i="1"/>
  <c r="P50" i="1" s="1"/>
  <c r="O27" i="1"/>
  <c r="P27" i="1" s="1"/>
  <c r="O19" i="1"/>
  <c r="P19" i="1" s="1"/>
  <c r="O246" i="1"/>
  <c r="P246" i="1" s="1"/>
  <c r="O226" i="1"/>
  <c r="P226" i="1" s="1"/>
  <c r="O93" i="1"/>
  <c r="P93" i="1" s="1"/>
  <c r="O75" i="1"/>
  <c r="P75" i="1" s="1"/>
  <c r="O48" i="1"/>
  <c r="P48" i="1" s="1"/>
  <c r="O35" i="1"/>
  <c r="P35" i="1" s="1"/>
  <c r="O26" i="1"/>
  <c r="P26" i="1" s="1"/>
  <c r="O13" i="1"/>
  <c r="P13" i="1" s="1"/>
  <c r="O270" i="1"/>
  <c r="P270" i="1" s="1"/>
  <c r="O254" i="1"/>
  <c r="P254" i="1" s="1"/>
  <c r="O211" i="1"/>
  <c r="P211" i="1" s="1"/>
  <c r="O180" i="1"/>
  <c r="P180" i="1" s="1"/>
  <c r="O159" i="1"/>
  <c r="P159" i="1" s="1"/>
  <c r="O140" i="1"/>
  <c r="P140" i="1" s="1"/>
  <c r="O100" i="1"/>
  <c r="P100" i="1" s="1"/>
  <c r="O138" i="1"/>
  <c r="P138" i="1" s="1"/>
  <c r="O92" i="1"/>
  <c r="P92" i="1" s="1"/>
  <c r="O74" i="1"/>
  <c r="P74" i="1" s="1"/>
  <c r="O47" i="1"/>
  <c r="P47" i="1" s="1"/>
  <c r="O34" i="1"/>
  <c r="P34" i="1" s="1"/>
  <c r="O3" i="1"/>
  <c r="P3" i="1" s="1"/>
  <c r="O286" i="1"/>
  <c r="P286" i="1" s="1"/>
  <c r="O253" i="1"/>
  <c r="P253" i="1" s="1"/>
  <c r="O233" i="1"/>
  <c r="P233" i="1" s="1"/>
  <c r="O210" i="1"/>
  <c r="P210" i="1" s="1"/>
  <c r="O188" i="1"/>
  <c r="P188" i="1" s="1"/>
  <c r="O168" i="1"/>
  <c r="P168" i="1" s="1"/>
  <c r="O118" i="1"/>
  <c r="P118" i="1" s="1"/>
  <c r="O99" i="1"/>
  <c r="P99" i="1" s="1"/>
  <c r="O41" i="1"/>
  <c r="P41" i="1" s="1"/>
  <c r="O71" i="1"/>
  <c r="P71" i="1" s="1"/>
  <c r="O98" i="1"/>
  <c r="P98" i="1" s="1"/>
  <c r="O24" i="1"/>
  <c r="P24" i="1" s="1"/>
  <c r="O285" i="1"/>
  <c r="P285" i="1" s="1"/>
  <c r="O30" i="1"/>
  <c r="P30" i="1" s="1"/>
  <c r="O53" i="1"/>
  <c r="P53" i="1" s="1"/>
  <c r="O105" i="1"/>
  <c r="P105" i="1" s="1"/>
  <c r="O133" i="1"/>
  <c r="P133" i="1" s="1"/>
  <c r="O81" i="1"/>
  <c r="P81" i="1" s="1"/>
  <c r="O135" i="1"/>
  <c r="P135" i="1" s="1"/>
  <c r="O175" i="1"/>
  <c r="P175" i="1" s="1"/>
  <c r="O218" i="1"/>
  <c r="P218" i="1" s="1"/>
  <c r="O2" i="1"/>
  <c r="P2" i="1" s="1"/>
  <c r="O45" i="1"/>
  <c r="P45" i="1" s="1"/>
  <c r="O126" i="1"/>
  <c r="P126" i="1" s="1"/>
  <c r="O167" i="1"/>
  <c r="P167" i="1" s="1"/>
  <c r="O209" i="1"/>
  <c r="P209" i="1" s="1"/>
  <c r="O252" i="1"/>
  <c r="P252" i="1" s="1"/>
  <c r="O8" i="1"/>
  <c r="P8" i="1" s="1"/>
  <c r="O9" i="1"/>
  <c r="P9" i="1" s="1"/>
  <c r="O31" i="1"/>
  <c r="P31" i="1" s="1"/>
  <c r="O54" i="1"/>
  <c r="P54" i="1" s="1"/>
  <c r="O106" i="1"/>
  <c r="P106" i="1" s="1"/>
  <c r="O177" i="1"/>
  <c r="P177" i="1" s="1"/>
  <c r="O220" i="1"/>
  <c r="P2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Pierina Lisseth De La Cruz Altuna</author>
  </authors>
  <commentList>
    <comment ref="F210" authorId="0" shapeId="0" xr:uid="{0DE2C5C8-9E3D-42F1-B413-7D65F9D78DEA}">
      <text>
        <r>
          <rPr>
            <sz val="11"/>
            <color theme="1"/>
            <rFont val="Calibri"/>
            <family val="2"/>
            <scheme val="minor"/>
          </rPr>
          <t>LICENCIA, POR REEMPLAZAR</t>
        </r>
      </text>
    </comment>
  </commentList>
</comments>
</file>

<file path=xl/sharedStrings.xml><?xml version="1.0" encoding="utf-8"?>
<sst xmlns="http://schemas.openxmlformats.org/spreadsheetml/2006/main" count="3249" uniqueCount="781">
  <si>
    <t>N°</t>
  </si>
  <si>
    <t>CLIENTE</t>
  </si>
  <si>
    <t>CARTERA/AREA</t>
  </si>
  <si>
    <t>SUB CARTERA</t>
  </si>
  <si>
    <t>SITUACION</t>
  </si>
  <si>
    <t>NOMBRES Y APELLIDOS</t>
  </si>
  <si>
    <t>DNI</t>
  </si>
  <si>
    <t>TIEMPO</t>
  </si>
  <si>
    <t>ZONAL</t>
  </si>
  <si>
    <t>MODALIDAD</t>
  </si>
  <si>
    <t>CARGO</t>
  </si>
  <si>
    <t>MOTORIZADO</t>
  </si>
  <si>
    <t>Responsable</t>
  </si>
  <si>
    <t>FECHA DE INGRESO</t>
  </si>
  <si>
    <t>DIAS</t>
  </si>
  <si>
    <t>CLASIFICACIÓN</t>
  </si>
  <si>
    <t>ENVIÓ CUL</t>
  </si>
  <si>
    <t>ENVIÓ FOTO</t>
  </si>
  <si>
    <t>FORMULARIO</t>
  </si>
  <si>
    <t>BBVA TEMPRANAS</t>
  </si>
  <si>
    <t>Particulares Vencida</t>
  </si>
  <si>
    <t>PLL</t>
  </si>
  <si>
    <t>ACOSTA INGA ERLA PATRICIA</t>
  </si>
  <si>
    <t>25793458</t>
  </si>
  <si>
    <t>COMPLETO</t>
  </si>
  <si>
    <t>LIMA  I</t>
  </si>
  <si>
    <t>PRESENCIAL</t>
  </si>
  <si>
    <t>Gestor Telefónico</t>
  </si>
  <si>
    <t>Virginia Sifuentes</t>
  </si>
  <si>
    <t>x</t>
  </si>
  <si>
    <t>SI</t>
  </si>
  <si>
    <t>BAN BIF</t>
  </si>
  <si>
    <t>Vigente y Dracma</t>
  </si>
  <si>
    <t>AGUIRRE ULLOA  VALERIA ABIGAIL</t>
  </si>
  <si>
    <t>75663263</t>
  </si>
  <si>
    <t>PART TIME</t>
  </si>
  <si>
    <t>TRUJILLO</t>
  </si>
  <si>
    <t>Silvia Crisólogo</t>
  </si>
  <si>
    <t>ALDAY ARTEAGA MARIA PAZ</t>
  </si>
  <si>
    <t>78236296</t>
  </si>
  <si>
    <t>BBVA  TARDÍAS</t>
  </si>
  <si>
    <t>Castigo</t>
  </si>
  <si>
    <t>ALTAMIRANO CHANDUVI CLAY GERSON</t>
  </si>
  <si>
    <t>70009651</t>
  </si>
  <si>
    <t>Diana Duno</t>
  </si>
  <si>
    <t>FINANCIERA EFECTIVA</t>
  </si>
  <si>
    <t>ALVARADO CARBONEL ARELI NOEMI</t>
  </si>
  <si>
    <t>73902908</t>
  </si>
  <si>
    <t>Silvia Crisólgo</t>
  </si>
  <si>
    <t>ALVAREZ GURUMENDI RENATO  DARIO</t>
  </si>
  <si>
    <t>000564705</t>
  </si>
  <si>
    <t>CAMPO</t>
  </si>
  <si>
    <t>Campo</t>
  </si>
  <si>
    <t>ANCCO SULLCA JUAN</t>
  </si>
  <si>
    <t>09596351</t>
  </si>
  <si>
    <t>LIMA  II</t>
  </si>
  <si>
    <t>Gestor de Campo</t>
  </si>
  <si>
    <t>No</t>
  </si>
  <si>
    <t>RJ ADMINISTRATIVO</t>
  </si>
  <si>
    <t>ANGELES CASTILLO DE CASTILLO, NELLY FE</t>
  </si>
  <si>
    <t>17895894</t>
  </si>
  <si>
    <t>REMOTO</t>
  </si>
  <si>
    <t xml:space="preserve">Supervisora de Gestion </t>
  </si>
  <si>
    <t>ARANA URRIOLA JULIA LILIANA</t>
  </si>
  <si>
    <t>08021998</t>
  </si>
  <si>
    <t>BANCOS</t>
  </si>
  <si>
    <t>Efectiva - IBK BPE</t>
  </si>
  <si>
    <t>AREVALO SOLIS MIRCIA LILIANA</t>
  </si>
  <si>
    <t>43167011</t>
  </si>
  <si>
    <t>ARIAS ANCHIHUAY MILAGROS NAHELY</t>
  </si>
  <si>
    <t>74216236</t>
  </si>
  <si>
    <t>Esthefany Vegabazan</t>
  </si>
  <si>
    <t>Area de Calidad y Formación</t>
  </si>
  <si>
    <t>ARMANSIO SANCHEZ HELLEN FABIOLA</t>
  </si>
  <si>
    <t>44301814</t>
  </si>
  <si>
    <t>Asistente de Calidad y Formacion</t>
  </si>
  <si>
    <t>Area de Tecnologías de la Información</t>
  </si>
  <si>
    <t>ARROYO GARCIA GABRIELA MIRELLA</t>
  </si>
  <si>
    <t>77924295</t>
  </si>
  <si>
    <t>Asistente de Sistemas</t>
  </si>
  <si>
    <t>ASENCIOS ANTICONA CINTHYA VANESSA</t>
  </si>
  <si>
    <t>43952868</t>
  </si>
  <si>
    <t>Calidad y Formación</t>
  </si>
  <si>
    <t>Edith Gómez</t>
  </si>
  <si>
    <t>Tempranas</t>
  </si>
  <si>
    <t>ATALAYA DAMIAN ARDILES DIRSEO</t>
  </si>
  <si>
    <t>10652392</t>
  </si>
  <si>
    <t>SUBGERENCIA COMERCIAL</t>
  </si>
  <si>
    <t>AYCA CHIPANA MARÍA VERÓNICA</t>
  </si>
  <si>
    <t>00488312</t>
  </si>
  <si>
    <t>TACNA</t>
  </si>
  <si>
    <t>BACA JUAREZ ERICA</t>
  </si>
  <si>
    <t>40133936</t>
  </si>
  <si>
    <t>X</t>
  </si>
  <si>
    <t>ExtraJudicial</t>
  </si>
  <si>
    <t>BALUARTE BARDALEZ KATHERIN FARUZIA</t>
  </si>
  <si>
    <t>43590008</t>
  </si>
  <si>
    <t>Lyzzeth Palma</t>
  </si>
  <si>
    <t>BANCES VIDAURRE JUDITH ARACELI</t>
  </si>
  <si>
    <t>46299192</t>
  </si>
  <si>
    <t>CHICLAYO</t>
  </si>
  <si>
    <t>Coordinador(a) de Campo</t>
  </si>
  <si>
    <t>BARCO RUIZ MARIA ELENA</t>
  </si>
  <si>
    <t>06776332</t>
  </si>
  <si>
    <t>BARDALES GARCIA, WEDDY EMILIANO</t>
  </si>
  <si>
    <t>18143157</t>
  </si>
  <si>
    <t>Si</t>
  </si>
  <si>
    <t>BARDALEZ SANCHES SIMI</t>
  </si>
  <si>
    <t>41579941</t>
  </si>
  <si>
    <t>Convenios</t>
  </si>
  <si>
    <t>Delfos</t>
  </si>
  <si>
    <t>BARRETO PERALTA ZOILA ELVIRA</t>
  </si>
  <si>
    <t>07627943</t>
  </si>
  <si>
    <t>Steven Perca</t>
  </si>
  <si>
    <t>BARTOLO SONO YAMILE DE LOS MILAGROS</t>
  </si>
  <si>
    <t>73642072</t>
  </si>
  <si>
    <t>Rommy Fucanjallo</t>
  </si>
  <si>
    <t>Area de Mantenimiento</t>
  </si>
  <si>
    <t>BAZAURI LAZARO LUIS ANIBAL</t>
  </si>
  <si>
    <t>18080518</t>
  </si>
  <si>
    <t>Asistente de Logistica</t>
  </si>
  <si>
    <t>COMPARTAMOS BANCO</t>
  </si>
  <si>
    <t>Grupal Liga A</t>
  </si>
  <si>
    <t>BENITES SANDOVAL SARITA DE LOS MILAGROS</t>
  </si>
  <si>
    <t>47370429</t>
  </si>
  <si>
    <t>Johanna Castillo</t>
  </si>
  <si>
    <t>BERMEO GARCIA JAIDY NATALI</t>
  </si>
  <si>
    <t>43067352</t>
  </si>
  <si>
    <t>campo</t>
  </si>
  <si>
    <t>BRAVO SAENZ LUZ DEIDANIY</t>
  </si>
  <si>
    <t>41115428</t>
  </si>
  <si>
    <t>CHIMBOTE</t>
  </si>
  <si>
    <t>Gestor Telefónico remoto</t>
  </si>
  <si>
    <t>Sonia Rodriguez</t>
  </si>
  <si>
    <t>BURGA SANCHEZ PAMELA ALEJANDRA</t>
  </si>
  <si>
    <t>Area de Contabilidad</t>
  </si>
  <si>
    <t>CABRERA ABANTO YAJAIRA CAROLA</t>
  </si>
  <si>
    <t>47527575</t>
  </si>
  <si>
    <t>Coordinador (a) de Contabilidad</t>
  </si>
  <si>
    <t>CABRERA ANGULO DIEGO MARTIN</t>
  </si>
  <si>
    <t>48065171</t>
  </si>
  <si>
    <t>Castigo (Individual)</t>
  </si>
  <si>
    <t>CACERES ARANDA LILIANA JACKELIN</t>
  </si>
  <si>
    <t>48002550</t>
  </si>
  <si>
    <t>CACERES ARANDA ROSSMERY ISABEL</t>
  </si>
  <si>
    <t>75487394</t>
  </si>
  <si>
    <t>Impaga</t>
  </si>
  <si>
    <t>CACERES VERGARA BARBARA STEPHANIE</t>
  </si>
  <si>
    <t>72193642</t>
  </si>
  <si>
    <t>CABANILLAS ESPINOZA LIZZETE GERALDINE</t>
  </si>
  <si>
    <t>46784308</t>
  </si>
  <si>
    <t>TIEMPO PARCIAL</t>
  </si>
  <si>
    <t>CALDERON PARRA ALVARO</t>
  </si>
  <si>
    <t>40325360</t>
  </si>
  <si>
    <t>CAMPO BBVA</t>
  </si>
  <si>
    <t>Particulares/Pyme</t>
  </si>
  <si>
    <t>CAMANI PEREZ CESAR ARMANDO</t>
  </si>
  <si>
    <t>20038128</t>
  </si>
  <si>
    <t>CARDENAS DAVILA ANA BERTHA</t>
  </si>
  <si>
    <t>25681447</t>
  </si>
  <si>
    <t>CARBAJAL SALIRROSAS CARLA  FIORELLA</t>
  </si>
  <si>
    <t>72634639</t>
  </si>
  <si>
    <t>Lisbeth Linares</t>
  </si>
  <si>
    <t>CANO AGUIRRE WIDO ENNER</t>
  </si>
  <si>
    <t>09034098</t>
  </si>
  <si>
    <t>BBVA CONTINENTAL</t>
  </si>
  <si>
    <t>CHALLENGER</t>
  </si>
  <si>
    <t>CARRASCO NAVARRO KEIKO SOFIA</t>
  </si>
  <si>
    <t>73376358</t>
  </si>
  <si>
    <t>CARRASCO QUISPE RUTH ANALY</t>
  </si>
  <si>
    <t>45374083</t>
  </si>
  <si>
    <t>CARTAGENA RIOS RAFAEL</t>
  </si>
  <si>
    <t>80559391</t>
  </si>
  <si>
    <t>IQUITOS</t>
  </si>
  <si>
    <t>CASTIGO</t>
  </si>
  <si>
    <t>CASTELLANO ROMERO ROUSES JESUS</t>
  </si>
  <si>
    <t>004312740</t>
  </si>
  <si>
    <t>CASTILLO ANGELES DIEGO MARTIN</t>
  </si>
  <si>
    <t>70615733</t>
  </si>
  <si>
    <t>Jefe de  Productividad</t>
  </si>
  <si>
    <t>CASTILLO ARENAS JOHANNA CATHERINE</t>
  </si>
  <si>
    <t>40942676</t>
  </si>
  <si>
    <t>Coordinador(a) de Gestión</t>
  </si>
  <si>
    <t>CASTRO ACUÑA GINA ROCIO</t>
  </si>
  <si>
    <t>25742363</t>
  </si>
  <si>
    <t>CASTRO MORENO YOVANA MILAGROS</t>
  </si>
  <si>
    <t>80132050</t>
  </si>
  <si>
    <t>CAVEL PAZ CLAUDIA VENESSA</t>
  </si>
  <si>
    <t>77167316</t>
  </si>
  <si>
    <t>CEDRON PRETELL JOSELIN ELIZABETH</t>
  </si>
  <si>
    <t>70009719</t>
  </si>
  <si>
    <t>CHAMORRO VELIZ DANTE LUIS</t>
  </si>
  <si>
    <t>06804014</t>
  </si>
  <si>
    <t>Temprana</t>
  </si>
  <si>
    <t>CHAVEZ ATOCHE HILMA ARMIDA</t>
  </si>
  <si>
    <t>18136186</t>
  </si>
  <si>
    <t>CHAVEZ CAMPOS MAURICIO ANDRE</t>
  </si>
  <si>
    <t>73973291</t>
  </si>
  <si>
    <t>CHAVEZ RUCANO JORGE ARTURO</t>
  </si>
  <si>
    <t>29733171</t>
  </si>
  <si>
    <t>AREQUIPA</t>
  </si>
  <si>
    <t>CHIRINOS CHIRINOS GREISYMAR</t>
  </si>
  <si>
    <t>004123583</t>
  </si>
  <si>
    <t>CHOZO SAAVEDRA BRAYAN GUILLERMO</t>
  </si>
  <si>
    <t>47305881</t>
  </si>
  <si>
    <t>SULLANA</t>
  </si>
  <si>
    <t>CHUQUI FLORES RONAL ARNALDO</t>
  </si>
  <si>
    <t>44349231</t>
  </si>
  <si>
    <t>CORREA FLORES LILIANA LISBETH</t>
  </si>
  <si>
    <t>74469037</t>
  </si>
  <si>
    <t>CRISOSTO MORALES ALEX EDWIN</t>
  </si>
  <si>
    <t>19082320</t>
  </si>
  <si>
    <t>IBK - BPE</t>
  </si>
  <si>
    <t>CRUZ VERGARA MILAGROS EVELING</t>
  </si>
  <si>
    <t>40294105</t>
  </si>
  <si>
    <t>Mircia Arevalo</t>
  </si>
  <si>
    <t>CULQUICHICON CABOS NANCY ELIZABETH</t>
  </si>
  <si>
    <t>72301505</t>
  </si>
  <si>
    <t>DAMIAN RUIZ JHONY</t>
  </si>
  <si>
    <t>75622533</t>
  </si>
  <si>
    <t>MOYOBAMBA</t>
  </si>
  <si>
    <t>Asistente Administrativo</t>
  </si>
  <si>
    <t>DAMIAN VALDERA FANY DEL MILAGRO</t>
  </si>
  <si>
    <t>75395408</t>
  </si>
  <si>
    <t>Area de Recursos Humanos</t>
  </si>
  <si>
    <t>DE LA CRUZ ALTUNA PIERINA LISSETH</t>
  </si>
  <si>
    <t>46068341</t>
  </si>
  <si>
    <t>Coordinador(a) de RRHH</t>
  </si>
  <si>
    <t>DE LA CRUZ RODRIGUEZ VALERIE STEPHANIE</t>
  </si>
  <si>
    <t>75602938</t>
  </si>
  <si>
    <t>Asistente  de Calidad</t>
  </si>
  <si>
    <t>DE LA TORRE VALENCIA OSCAR MANUEL</t>
  </si>
  <si>
    <t>09360774</t>
  </si>
  <si>
    <t>HUANCAYO</t>
  </si>
  <si>
    <t>DELGADO FUSTAMANTE SHEILA MILAGRO</t>
  </si>
  <si>
    <t>41520682</t>
  </si>
  <si>
    <t>Marketing</t>
  </si>
  <si>
    <t>DELGADO QUISPE JUAN ANTONIO</t>
  </si>
  <si>
    <t>71241948</t>
  </si>
  <si>
    <t>Asistente de MARKETING</t>
  </si>
  <si>
    <t>RJ COMPARTAMOS</t>
  </si>
  <si>
    <t>RJ .COMPARTAMOS</t>
  </si>
  <si>
    <t>DIAZ PACHECO CARMEN ROSA</t>
  </si>
  <si>
    <t>17919465</t>
  </si>
  <si>
    <t>Lilia Quezada</t>
  </si>
  <si>
    <t>DÍAZ VÁSQUEZ MICHELL DEL ROCÍO</t>
  </si>
  <si>
    <t>71204245</t>
  </si>
  <si>
    <t>DIOS BAZAN ULISES ANTONIO</t>
  </si>
  <si>
    <t>46475271</t>
  </si>
  <si>
    <t>Coordinador(a) de Calidad</t>
  </si>
  <si>
    <t>BBVA CASTIGO</t>
  </si>
  <si>
    <t>DUNO PRADA DIANA CAROLINA</t>
  </si>
  <si>
    <t>003492862</t>
  </si>
  <si>
    <t>Coordinador(a) Junior</t>
  </si>
  <si>
    <t>ESCATE LAYZA MILAGROS YESSICA</t>
  </si>
  <si>
    <t>73219396</t>
  </si>
  <si>
    <t>ESPINOZA FLORES ANALI VICTORIA</t>
  </si>
  <si>
    <t>10766717</t>
  </si>
  <si>
    <t>ESTANIS GARGUREVICH ANGELICA MARIA</t>
  </si>
  <si>
    <t>71351578</t>
  </si>
  <si>
    <t>FARFAN HUARANJA ROSA AMELIA</t>
  </si>
  <si>
    <t>10723387</t>
  </si>
  <si>
    <t>FERNANDEZ BURGOS LEIDY MARYORI</t>
  </si>
  <si>
    <t>74609080</t>
  </si>
  <si>
    <t>JARAMILLO SALDARRIAGA MARISSA VIOLETA</t>
  </si>
  <si>
    <t>07748406</t>
  </si>
  <si>
    <t>FLORES CRISOLGO SILVIA</t>
  </si>
  <si>
    <t>43532252</t>
  </si>
  <si>
    <t>Challenger</t>
  </si>
  <si>
    <t xml:space="preserve">FLORES RAMOS MARIA FERNANDA </t>
  </si>
  <si>
    <t>70885657</t>
  </si>
  <si>
    <t>Asistente de Gestión</t>
  </si>
  <si>
    <t>Judicial</t>
  </si>
  <si>
    <t>FLORES RUIZ HAYLEN VANESA</t>
  </si>
  <si>
    <t>006188606</t>
  </si>
  <si>
    <t>Karol López y Naomi Solis</t>
  </si>
  <si>
    <t>FLORES VIERA FREYSER CARLOS</t>
  </si>
  <si>
    <t>70909890</t>
  </si>
  <si>
    <t>BBVA Particulares Vencida</t>
  </si>
  <si>
    <t>FUNCAJALLO MARTINEZ ROMMY GIANNINA</t>
  </si>
  <si>
    <t>44520096</t>
  </si>
  <si>
    <t>Supervisora (BBVA Prev. - Particulares . Vcda. Tard)</t>
  </si>
  <si>
    <t>GALARRETA ANCAJIMA MARGARITA GIOVANA</t>
  </si>
  <si>
    <t>09301935</t>
  </si>
  <si>
    <t>FERNANDEZ JULCA JENNIFER LISET</t>
  </si>
  <si>
    <t>73683801</t>
  </si>
  <si>
    <t>GAMARRA BERNARDO JESSICA LISETH</t>
  </si>
  <si>
    <t>73681854</t>
  </si>
  <si>
    <t>GAMBOA SANTOYA MARIA ESTHER</t>
  </si>
  <si>
    <t>40510994</t>
  </si>
  <si>
    <t>Supervisora  (EFECTIVA - XPERTO - CASTIGO)</t>
  </si>
  <si>
    <t>GARAY CANCHAN JUAN CARLOS</t>
  </si>
  <si>
    <t>20079687</t>
  </si>
  <si>
    <t>GARCIA CAVERO MARIBEL NERYDA</t>
  </si>
  <si>
    <t>03692537</t>
  </si>
  <si>
    <t>PIURA</t>
  </si>
  <si>
    <t>GARRIDO PONTE JHONNY WALTER</t>
  </si>
  <si>
    <t>46095965</t>
  </si>
  <si>
    <t>Gestor de Campo - SENIOR</t>
  </si>
  <si>
    <t>GELDRES DEL RISCO MIGUEL ARTURO</t>
  </si>
  <si>
    <t>43767765</t>
  </si>
  <si>
    <t>Supervisor TI</t>
  </si>
  <si>
    <t>GIL CRUZ LUIS ALBERTO</t>
  </si>
  <si>
    <t>17971308</t>
  </si>
  <si>
    <t>GIL LOPEZ CARMEN CECILIA</t>
  </si>
  <si>
    <t>74241250</t>
  </si>
  <si>
    <t>GIORFFINO SANDOVAL SOLANHS EDITH</t>
  </si>
  <si>
    <t>71198635</t>
  </si>
  <si>
    <t>GOMEZ AYALA FILBER ALFREDO</t>
  </si>
  <si>
    <t>43774844</t>
  </si>
  <si>
    <t>AYACUCHO</t>
  </si>
  <si>
    <t>GOMEZ BRIONES EDITH PAOLA</t>
  </si>
  <si>
    <t>46812346</t>
  </si>
  <si>
    <t>Supervisor(a)  de Calidad</t>
  </si>
  <si>
    <t>GONZALES GUZMAN YANITZA LISETT</t>
  </si>
  <si>
    <t>70054749</t>
  </si>
  <si>
    <t>GONZALES MACHIN YORKA</t>
  </si>
  <si>
    <t>006018467</t>
  </si>
  <si>
    <t>GONZALEZ QUEZADA LILIA ROSAIDA</t>
  </si>
  <si>
    <t>32138595</t>
  </si>
  <si>
    <t>GUERRA FLORES EMELY YAMELI</t>
  </si>
  <si>
    <t>73376809</t>
  </si>
  <si>
    <t>GUERRERO LOBATON JORGE LUIS</t>
  </si>
  <si>
    <t>09126355</t>
  </si>
  <si>
    <t>GUERRERO RAMIREZ YBETH ROSSINA</t>
  </si>
  <si>
    <t>72218773</t>
  </si>
  <si>
    <t>GUZMÁN STAGNARO JUAN CARLOS</t>
  </si>
  <si>
    <t>09671559</t>
  </si>
  <si>
    <t>HERRERA MORENO ANGELA MARIA</t>
  </si>
  <si>
    <t>18153075</t>
  </si>
  <si>
    <t>HIDALGO NAVARRO ALDO</t>
  </si>
  <si>
    <t>21565340</t>
  </si>
  <si>
    <t>ICA</t>
  </si>
  <si>
    <t>BVVA CASTIGO</t>
  </si>
  <si>
    <t>HOYOS MARIN ROSA AMALIA</t>
  </si>
  <si>
    <t>42647372</t>
  </si>
  <si>
    <t>Supervisora de Gestion (BBVA Castigo)</t>
  </si>
  <si>
    <t>HUAMAN GARCIA JESUS MARIA</t>
  </si>
  <si>
    <t>43144241</t>
  </si>
  <si>
    <t>HUAMANCHUMO TORIBIO DIEGO  DAVID</t>
  </si>
  <si>
    <t>76879940</t>
  </si>
  <si>
    <t>Xperto 1 y 2</t>
  </si>
  <si>
    <t>ILQUIMICHE TORIBIO SALLY SASHIRA</t>
  </si>
  <si>
    <t>47559355</t>
  </si>
  <si>
    <t>Maria Esther Gamboa</t>
  </si>
  <si>
    <t>INTOR VELASQUEZ MONICA LILIANA</t>
  </si>
  <si>
    <t>10192335</t>
  </si>
  <si>
    <t>IZQUIERDO ALCANTARA VALERY YUVISSA</t>
  </si>
  <si>
    <t>70135391</t>
  </si>
  <si>
    <t>Digitadora</t>
  </si>
  <si>
    <t>JARA BURGOS MIGUEL ANGEL</t>
  </si>
  <si>
    <t>45589373</t>
  </si>
  <si>
    <t>Coordinador Zonal</t>
  </si>
  <si>
    <t>GALARRETA ANCAJIMA ROSEL ROSAURA</t>
  </si>
  <si>
    <t>09992148</t>
  </si>
  <si>
    <t>JUAREZ ROJAS LILIANA YULISA</t>
  </si>
  <si>
    <t>75741023</t>
  </si>
  <si>
    <t>KUSAKABE RUIZ TOSHIRO MICHEL</t>
  </si>
  <si>
    <t>44361637</t>
  </si>
  <si>
    <t>SUPERVISOR ESAN</t>
  </si>
  <si>
    <t>LA ROSA LUCHO ROSA ISABEL</t>
  </si>
  <si>
    <t>15739020</t>
  </si>
  <si>
    <t>HUACHO</t>
  </si>
  <si>
    <t>LALUPU RAMIREZ JESSICA STEFANI</t>
  </si>
  <si>
    <t>46732391</t>
  </si>
  <si>
    <t>LAVI POLAR LUIS ALBERTO</t>
  </si>
  <si>
    <t>29616513</t>
  </si>
  <si>
    <t>Jefe de Calidad y RR. HH.</t>
  </si>
  <si>
    <t>LEON ALVAREZ PEREGRINA ROSSANA</t>
  </si>
  <si>
    <t>08876853</t>
  </si>
  <si>
    <t>OF. 309/OF 327</t>
  </si>
  <si>
    <t>LEON QUISPITONGO LUCERO MARIBEL</t>
  </si>
  <si>
    <t>76871132</t>
  </si>
  <si>
    <t>Asistente Contable</t>
  </si>
  <si>
    <t>Area Back Office</t>
  </si>
  <si>
    <t>LINARES GANDOLFO CLAUDIA ROXANA</t>
  </si>
  <si>
    <t>43820772</t>
  </si>
  <si>
    <t>Back Office</t>
  </si>
  <si>
    <t>LINARES GANDOLFO LISBETH YDALIA</t>
  </si>
  <si>
    <t>70347072</t>
  </si>
  <si>
    <t>Supervisor(a) de Gestión</t>
  </si>
  <si>
    <t>LOPEZ AVILA ASHLEY VALERIN</t>
  </si>
  <si>
    <t>70847199</t>
  </si>
  <si>
    <t>BBVA JUDICIAL</t>
  </si>
  <si>
    <t>LOPEZ MOSTACERO KAROL JACKELINE</t>
  </si>
  <si>
    <t>71263784</t>
  </si>
  <si>
    <t>LOYOLA BOLO CINTHYA MILAGROS</t>
  </si>
  <si>
    <t>70396134</t>
  </si>
  <si>
    <t>LOZANO  HONORIO  VANESA CECILIA</t>
  </si>
  <si>
    <t>76267435</t>
  </si>
  <si>
    <t>LUNA CHUMBIRAY SHANTAL GENESIS</t>
  </si>
  <si>
    <t>75094079</t>
  </si>
  <si>
    <t>Consumer</t>
  </si>
  <si>
    <t>MANTILLA CRUZADO MAURO ALEXANDRO</t>
  </si>
  <si>
    <t>47158251</t>
  </si>
  <si>
    <t>MANTILLA GAVIDIA SAMUEL</t>
  </si>
  <si>
    <t>08693106</t>
  </si>
  <si>
    <t>MARIN LUYO SHIRLEY</t>
  </si>
  <si>
    <t>71381885</t>
  </si>
  <si>
    <t>MARINO ASCOY LISETH DEL ROCIO</t>
  </si>
  <si>
    <t>47848929</t>
  </si>
  <si>
    <t>MASIAS FLORES DANIEL ALFREDO</t>
  </si>
  <si>
    <t>09582751</t>
  </si>
  <si>
    <t>Supervisor de Gestion de Campo - SENIOR</t>
  </si>
  <si>
    <t>MAYER CAYETANO GABRIEL ERNESTO</t>
  </si>
  <si>
    <t>73267547</t>
  </si>
  <si>
    <t>MEDINA APONTE JESUS JAVIER</t>
  </si>
  <si>
    <t>003402746</t>
  </si>
  <si>
    <t>Coordinador(a) de Calidad y Formacion</t>
  </si>
  <si>
    <t>MENA MENA EINSTEIN FORD</t>
  </si>
  <si>
    <t>40657714</t>
  </si>
  <si>
    <t>Supervisor Junior de Gestion</t>
  </si>
  <si>
    <t>N PLL</t>
  </si>
  <si>
    <t>MENA SOLIS EINNA BILHA</t>
  </si>
  <si>
    <t>71182998</t>
  </si>
  <si>
    <t>MENDOCILLA CARRANZA ALDO ENRIQUE</t>
  </si>
  <si>
    <t>44398169</t>
  </si>
  <si>
    <t>MENDOZA ALVARADO MAGALY</t>
  </si>
  <si>
    <t>10388156</t>
  </si>
  <si>
    <t>MENDOZA YEPEZ CLAUDYS JOSEFINA</t>
  </si>
  <si>
    <t>002604408</t>
  </si>
  <si>
    <t>MIÑAN LA MADRID JUNIOR JAVIER</t>
  </si>
  <si>
    <t>71831578</t>
  </si>
  <si>
    <t>MIRANDA LLONTOP BRISSA IRASHI MISHIKO</t>
  </si>
  <si>
    <t>78052646</t>
  </si>
  <si>
    <t>MEDINA PAREDES MARIO JOSUE</t>
  </si>
  <si>
    <t>70919067</t>
  </si>
  <si>
    <t>MOLINA CLAVIJO UZZIEL MISAEL</t>
  </si>
  <si>
    <t>47201121</t>
  </si>
  <si>
    <t>MORA VASQUEZ IVANHOE ELDER</t>
  </si>
  <si>
    <t>43848016</t>
  </si>
  <si>
    <t>MORAN LAZARO GIANNINA BELEM</t>
  </si>
  <si>
    <t>70228162</t>
  </si>
  <si>
    <t>VOLVO</t>
  </si>
  <si>
    <t>MORENO VERA YOSELYN GUIANELLA</t>
  </si>
  <si>
    <t>74730471</t>
  </si>
  <si>
    <t>MOSCOSO CANALES SALOMON EDUARDO</t>
  </si>
  <si>
    <t>10547908</t>
  </si>
  <si>
    <t>Coordinador de Capacitación</t>
  </si>
  <si>
    <t>Preventiva</t>
  </si>
  <si>
    <t>MOSTACERO MOSTACERO ANGELITA YAKELINE</t>
  </si>
  <si>
    <t>72266272</t>
  </si>
  <si>
    <t>MUÑOZ CORDOVA ARTURO</t>
  </si>
  <si>
    <t>41888808</t>
  </si>
  <si>
    <t>HUANCAYO/JUNIN</t>
  </si>
  <si>
    <t>Pymes Vencida</t>
  </si>
  <si>
    <t>NEYRA MONJE JUAN PABLO</t>
  </si>
  <si>
    <t>07486589</t>
  </si>
  <si>
    <t>JEFE DE GESTION (MAF - Vda Pymes)</t>
  </si>
  <si>
    <t>NOLASCO AREVALO GIL ALFREDO</t>
  </si>
  <si>
    <t>06002057</t>
  </si>
  <si>
    <t>ORBEGOSO SINTI JOSE ALBERTO</t>
  </si>
  <si>
    <t>40601025</t>
  </si>
  <si>
    <t>ORDOÑEZ CORTEZ ERIKA LORENA</t>
  </si>
  <si>
    <t>47934154</t>
  </si>
  <si>
    <t>MOLINA ALVEAR NINOSKA CARMEN</t>
  </si>
  <si>
    <t>10471709</t>
  </si>
  <si>
    <t>ORTIZ MIRANDA CARMEN ROSA</t>
  </si>
  <si>
    <t>42752098</t>
  </si>
  <si>
    <t>ORDOÑEZ CORTEZ EVELYN DORIS</t>
  </si>
  <si>
    <t>47934153</t>
  </si>
  <si>
    <t>OTINIANO VEGA INGRID ENI</t>
  </si>
  <si>
    <t>73709548</t>
  </si>
  <si>
    <t>PACHECO HUAMAN FLOR DARIA</t>
  </si>
  <si>
    <t>45497309</t>
  </si>
  <si>
    <t>CUZCO</t>
  </si>
  <si>
    <t>OSTOLAZA VARILLAS URSULA MARIA GRACIELA</t>
  </si>
  <si>
    <t>09956834</t>
  </si>
  <si>
    <t>PAIRAZAMAN TAPIA MELISSA ISABEL</t>
  </si>
  <si>
    <t>45815162</t>
  </si>
  <si>
    <t>CAPA</t>
  </si>
  <si>
    <t>BBVA ExtraJudicial</t>
  </si>
  <si>
    <t>PALMA ACOSTA LYZZETH</t>
  </si>
  <si>
    <t>10774458</t>
  </si>
  <si>
    <t>Supervisor de Gestion</t>
  </si>
  <si>
    <t xml:space="preserve">PANTA VENTURO ENRIQUE </t>
  </si>
  <si>
    <t>40522861</t>
  </si>
  <si>
    <t>Supervisor(a) Zonal</t>
  </si>
  <si>
    <t>REINGRESO</t>
  </si>
  <si>
    <t>PAREDES MONZON DEYSI</t>
  </si>
  <si>
    <t>47133975</t>
  </si>
  <si>
    <t>PAREDES MORAN GUILIANA NOEMI</t>
  </si>
  <si>
    <t>72206394</t>
  </si>
  <si>
    <t>PEDRAZA AVALOS OMAR BLADIMIR</t>
  </si>
  <si>
    <t>40897781</t>
  </si>
  <si>
    <t>PEDRAZA REJAS GIANFRANCO VLADIMIR</t>
  </si>
  <si>
    <t>72541116</t>
  </si>
  <si>
    <t>PEÑA ANDARCIA JESUS JAVIER</t>
  </si>
  <si>
    <t>003191194</t>
  </si>
  <si>
    <t>BBVA Convenios/Delfos</t>
  </si>
  <si>
    <t>PERCA ABURTO STEVEN</t>
  </si>
  <si>
    <t>75424285</t>
  </si>
  <si>
    <t>PEREDA ALVA ROBERTO CARLOS</t>
  </si>
  <si>
    <t>41526998</t>
  </si>
  <si>
    <t>PEREYRA FERNANDEZ DIANA TERESA</t>
  </si>
  <si>
    <t>45123742</t>
  </si>
  <si>
    <t>PEREZ QUIJUA BEATRIZ MARIA</t>
  </si>
  <si>
    <t>47898719</t>
  </si>
  <si>
    <t>PINEDO GAMBOA JESSICA BEATRIZ</t>
  </si>
  <si>
    <t>46731695</t>
  </si>
  <si>
    <t>PLASENCIA FERNANDEZ ROSARIO MABEL</t>
  </si>
  <si>
    <t>73878645</t>
  </si>
  <si>
    <t>PRIETO ALONSO DELMIS</t>
  </si>
  <si>
    <t>007922828</t>
  </si>
  <si>
    <t>QUINTERO TANGARIFE SAMANTA</t>
  </si>
  <si>
    <t>006182311</t>
  </si>
  <si>
    <t>QUIPUSCOA CASTILLO YESENIA</t>
  </si>
  <si>
    <t>75263302</t>
  </si>
  <si>
    <t>QUISPE GUILLEN JESUS OTHONIEL</t>
  </si>
  <si>
    <t>41849805</t>
  </si>
  <si>
    <t>CAJA HUANCAYO</t>
  </si>
  <si>
    <t xml:space="preserve">RAFAEL SANCHEZ CINDY MEDALI </t>
  </si>
  <si>
    <t>45356264</t>
  </si>
  <si>
    <t>RAMIREZ CASTAÑEDA JUAN CARLOS</t>
  </si>
  <si>
    <t>73932966</t>
  </si>
  <si>
    <t>PUCCE RIVERA DIEGO DANIEL</t>
  </si>
  <si>
    <t>72467820</t>
  </si>
  <si>
    <t>LIMA I</t>
  </si>
  <si>
    <t>RAMIREZ SICCHA DIRSSE CECILIA</t>
  </si>
  <si>
    <t>70507677</t>
  </si>
  <si>
    <t>RAMOS FALCON YANIRA NICOLLE</t>
  </si>
  <si>
    <t>75178264</t>
  </si>
  <si>
    <t>Asistente (Monitoreo Of. San Isidro - LIMA)</t>
  </si>
  <si>
    <t>RAMOS SEGURA BRENDA</t>
  </si>
  <si>
    <t>25726098</t>
  </si>
  <si>
    <t>RENTERIA MENDOZA MARIA GUILLERMINA</t>
  </si>
  <si>
    <t>005936186</t>
  </si>
  <si>
    <t>REUPO SOTO JUAN CARLOS</t>
  </si>
  <si>
    <t>08146068</t>
  </si>
  <si>
    <t>REVOLLEDO NELO KATHERINE STEFANY</t>
  </si>
  <si>
    <t>72388511</t>
  </si>
  <si>
    <t>REYES LOZANO IRVING JOSEPH</t>
  </si>
  <si>
    <t>45059497</t>
  </si>
  <si>
    <t>RAMIREZ SAAVEDRA DAVID ALEXANDER</t>
  </si>
  <si>
    <t>47994735</t>
  </si>
  <si>
    <t>REYNA CABALLERO LUIS ANGEL</t>
  </si>
  <si>
    <t>47104789</t>
  </si>
  <si>
    <t>RIOJA ATENCIO ALESSANDRO PAVEL</t>
  </si>
  <si>
    <t>45683271</t>
  </si>
  <si>
    <t>Supervisor Informático</t>
  </si>
  <si>
    <t>RIVAS PLATA GARCIA RICARDO CHARLIE</t>
  </si>
  <si>
    <t>09903404</t>
  </si>
  <si>
    <t xml:space="preserve">RAVELO VASQUEZ ALENY JOSEFINA </t>
  </si>
  <si>
    <t>005039298</t>
  </si>
  <si>
    <t>RODRIGUEZ CASTILLO EDITH ELIZABETH</t>
  </si>
  <si>
    <t>18133981</t>
  </si>
  <si>
    <t>Administrativo</t>
  </si>
  <si>
    <t>RODRIGUEZ CASTILLO JOAQUIN</t>
  </si>
  <si>
    <t>17837412</t>
  </si>
  <si>
    <t>Gerente General</t>
  </si>
  <si>
    <t>RODRIGUEZ GARCIA MICHELLE BO</t>
  </si>
  <si>
    <t>47199218</t>
  </si>
  <si>
    <t>REYES TORRES JOSE CESAR</t>
  </si>
  <si>
    <t>40908206</t>
  </si>
  <si>
    <t>RODRIGUEZ POLO FELIPE</t>
  </si>
  <si>
    <t>17849405</t>
  </si>
  <si>
    <t>RODRIGUEZ SAAVEDRA NAYELI BARBARITA</t>
  </si>
  <si>
    <t>70861521</t>
  </si>
  <si>
    <t>RODRIGUEZ SALINAS FRANCISCO ADOLFO</t>
  </si>
  <si>
    <t>70105106</t>
  </si>
  <si>
    <t xml:space="preserve">RODRIGUEZ SALINAS JOAQUIN FERNANDO
</t>
  </si>
  <si>
    <t>70105105</t>
  </si>
  <si>
    <t>Médico Ocupacional</t>
  </si>
  <si>
    <t>Vigente</t>
  </si>
  <si>
    <t>RODRIGUEZ SAONA JUNIOR GERMAN</t>
  </si>
  <si>
    <t>46046202</t>
  </si>
  <si>
    <t xml:space="preserve">RODRIGUEZ SAUCEDO DIANA DEL ROCIO </t>
  </si>
  <si>
    <t>44870161</t>
  </si>
  <si>
    <t>Supervisora de RRHH</t>
  </si>
  <si>
    <t>RODRIGUEZ SAUCEDO SONIA ELIZABETH</t>
  </si>
  <si>
    <t>40790378</t>
  </si>
  <si>
    <t>ROBLES OCHOA JOSSELYN XIMENA</t>
  </si>
  <si>
    <t>72682128</t>
  </si>
  <si>
    <t>RODRIGUEZ PIZANGO AVRIL ABISAG</t>
  </si>
  <si>
    <t>74051694</t>
  </si>
  <si>
    <t>ROMERO CENTENO OSCAR WILMER</t>
  </si>
  <si>
    <t>10450940</t>
  </si>
  <si>
    <t>ROSAS RODRIGUEZ DORIS DEYSI</t>
  </si>
  <si>
    <t>71623038</t>
  </si>
  <si>
    <t>RUA FUENMAYOR EMANUEL JOSUE</t>
  </si>
  <si>
    <t>003121184</t>
  </si>
  <si>
    <t>Coordinador(a) de Sistemas</t>
  </si>
  <si>
    <t xml:space="preserve">RUIZ ORTIZ SHEYLA TATIANA </t>
  </si>
  <si>
    <t>70337492</t>
  </si>
  <si>
    <t>LICENCIA</t>
  </si>
  <si>
    <t>ROJAS BAZAN ERIKA MABEL</t>
  </si>
  <si>
    <t>47933762</t>
  </si>
  <si>
    <t>SALAZAR RODRIGUEZ LEYDI DIANA</t>
  </si>
  <si>
    <t>76624662</t>
  </si>
  <si>
    <t>SALDAÑA VERA JESSICA ELIZBET</t>
  </si>
  <si>
    <t>45101136</t>
  </si>
  <si>
    <t>SALINAS CORREA MARTHA TATIANA DORA</t>
  </si>
  <si>
    <t>40394103</t>
  </si>
  <si>
    <t>Asistente de Contabilidad</t>
  </si>
  <si>
    <t>SALINAS TORRES KARLA ROCIO</t>
  </si>
  <si>
    <t>45530594</t>
  </si>
  <si>
    <t>SANCHEZ  FIGUEROA LEINY SARITA</t>
  </si>
  <si>
    <t>75553540</t>
  </si>
  <si>
    <t>SANCHEZ ARRUE YOLA MARIA</t>
  </si>
  <si>
    <t>00828033</t>
  </si>
  <si>
    <t>SANCHEZ AVALOS JAVIER EDUARDO</t>
  </si>
  <si>
    <t>43609368</t>
  </si>
  <si>
    <t>SANCHEZ BARDALES CARLOS</t>
  </si>
  <si>
    <t>17946827</t>
  </si>
  <si>
    <t>Asistente de Logística</t>
  </si>
  <si>
    <t>SANCHEZ BARDALES FRANKLIN</t>
  </si>
  <si>
    <t>17956950</t>
  </si>
  <si>
    <t>SANCHEZ CHU ALEXANDER</t>
  </si>
  <si>
    <t>32945968</t>
  </si>
  <si>
    <t>SANCHEZ DIAZ CARLOS ALEJANDRO</t>
  </si>
  <si>
    <t>41781527</t>
  </si>
  <si>
    <t>Contador</t>
  </si>
  <si>
    <t>SÁNCHEZ GARCIA MARITA ALICE</t>
  </si>
  <si>
    <t>44420155</t>
  </si>
  <si>
    <t>Asistente de Gestion</t>
  </si>
  <si>
    <t>SANCHEZ SAN MARTIN YANET MARISOL</t>
  </si>
  <si>
    <t>40272479</t>
  </si>
  <si>
    <t>Administración</t>
  </si>
  <si>
    <t>SANDOVAL RAVELLO ANILA PAOLA</t>
  </si>
  <si>
    <t>32970112</t>
  </si>
  <si>
    <t>Jefe de Administración</t>
  </si>
  <si>
    <t>SANDOVAL SILVA YURI NOE</t>
  </si>
  <si>
    <t>43075472</t>
  </si>
  <si>
    <t>UCAYALI/PUCALLPA</t>
  </si>
  <si>
    <t>SANTA CRUZ BECERRA ESEQUIEL</t>
  </si>
  <si>
    <t>42103221</t>
  </si>
  <si>
    <t>CAJAMARCA</t>
  </si>
  <si>
    <t>SANTILLAN JARAMILLO LIVINGSTON</t>
  </si>
  <si>
    <t>42532673</t>
  </si>
  <si>
    <t>IQUITOS/LORETO</t>
  </si>
  <si>
    <t>SARAVIA GIMENEZ PATRICIA YESENIA</t>
  </si>
  <si>
    <t>40192268</t>
  </si>
  <si>
    <t>SAUCEDO LLARO SUSANA</t>
  </si>
  <si>
    <t>17837609</t>
  </si>
  <si>
    <t>SAUCEDO SANCHEZ KAREN ELIANNE</t>
  </si>
  <si>
    <t>77150386</t>
  </si>
  <si>
    <t>Asistente de RRHH</t>
  </si>
  <si>
    <t xml:space="preserve">SAUSA NUÑEZ JUAN CARLOS </t>
  </si>
  <si>
    <t>08129497</t>
  </si>
  <si>
    <t>DIEGO CABRERA</t>
  </si>
  <si>
    <t xml:space="preserve">SIFUENTES BACA VIRGINIA GRECIA </t>
  </si>
  <si>
    <t>44901563</t>
  </si>
  <si>
    <t>SILVA ANGULO ANGEL GABRIEL</t>
  </si>
  <si>
    <t>48210443</t>
  </si>
  <si>
    <t>SILVA ANGULO DEBORA LISET</t>
  </si>
  <si>
    <t>76389909</t>
  </si>
  <si>
    <t>SILVA TRESIERRA CARLO MARTIN</t>
  </si>
  <si>
    <t>45449541</t>
  </si>
  <si>
    <t>SOLIS PINGO RAQUEL NAOMI</t>
  </si>
  <si>
    <t>40864892</t>
  </si>
  <si>
    <t>SOPLAPUCO BANCES JOSE MANUEL</t>
  </si>
  <si>
    <t>16778335</t>
  </si>
  <si>
    <t>SUAREZ LAURA MARIANNE DOMINIQUE</t>
  </si>
  <si>
    <t>40417317</t>
  </si>
  <si>
    <t>SUAREZ VALLADARES WILLY DOROTEO</t>
  </si>
  <si>
    <t>09850047</t>
  </si>
  <si>
    <t>SUCLLA SUCLLA MARIELA MARCIA</t>
  </si>
  <si>
    <t>29427690</t>
  </si>
  <si>
    <t>TANDAYPAN MAURICIO JULISSA EVELYN</t>
  </si>
  <si>
    <t>72301079</t>
  </si>
  <si>
    <t>TAPIA HINOSTROZA CLARA PAMELA</t>
  </si>
  <si>
    <t>47978473</t>
  </si>
  <si>
    <t>PISCO</t>
  </si>
  <si>
    <t>TERAN PALACIOS LOURDES BRISHNA</t>
  </si>
  <si>
    <t>47834112</t>
  </si>
  <si>
    <t>TORRES MEDRANO JEAN JEFFERSON</t>
  </si>
  <si>
    <t>72784793</t>
  </si>
  <si>
    <t>URBINA MAYLLE CLODOMIRO</t>
  </si>
  <si>
    <t>22508723</t>
  </si>
  <si>
    <t>HUANUCO</t>
  </si>
  <si>
    <t>Area Legal</t>
  </si>
  <si>
    <t>VALDIVIA CORNELIO LUIS</t>
  </si>
  <si>
    <t>18012675</t>
  </si>
  <si>
    <t>Asesor Legal</t>
  </si>
  <si>
    <t>Area de Seguridad</t>
  </si>
  <si>
    <t>VALDIVIA SANCHEZ GUSTAVO</t>
  </si>
  <si>
    <t>17900000</t>
  </si>
  <si>
    <t>Coordinador de Seguridad</t>
  </si>
  <si>
    <t>Central Telefónica</t>
  </si>
  <si>
    <t>VALLADARES GUERRA JULIO CESAR</t>
  </si>
  <si>
    <t>44111169</t>
  </si>
  <si>
    <t>-</t>
  </si>
  <si>
    <t>VARGAS CACHIQUE FIORELLA ARACELY</t>
  </si>
  <si>
    <t>70067945</t>
  </si>
  <si>
    <t>VARGAS MEZA FREDDY LARZON</t>
  </si>
  <si>
    <t>80380352</t>
  </si>
  <si>
    <t>TARAPOTO</t>
  </si>
  <si>
    <t>ROJAS GOYZUETA GIOVANNA ISABEL</t>
  </si>
  <si>
    <t>06279785</t>
  </si>
  <si>
    <t>VASQUEZ URBINA ENGEL LEYSER</t>
  </si>
  <si>
    <t>47798739</t>
  </si>
  <si>
    <t>Supervisor(a) BACK  OFFICE</t>
  </si>
  <si>
    <t>VEGA RUIZ MARTIN LUIS</t>
  </si>
  <si>
    <t>17841485</t>
  </si>
  <si>
    <t>Jefe de Seguridad</t>
  </si>
  <si>
    <t xml:space="preserve">VEGABAZAN VILLAVICENCIO ESTHEFANY KATHERINE </t>
  </si>
  <si>
    <t>48304282</t>
  </si>
  <si>
    <t>VELASQUEZ FLORES MELVIN GONZALO</t>
  </si>
  <si>
    <t>45708524</t>
  </si>
  <si>
    <t>VELIZ CHINCHAY PRESVITERO</t>
  </si>
  <si>
    <t>43762210</t>
  </si>
  <si>
    <t>VERAPINTO SALAS ANGELO CARMELO</t>
  </si>
  <si>
    <t>29571347</t>
  </si>
  <si>
    <t>VICTORIO ENCARNACION MEYDELIN CELITA</t>
  </si>
  <si>
    <t>71943525</t>
  </si>
  <si>
    <t>VILCHEZ CHAMBA ANDREA DE LOS ANGELES</t>
  </si>
  <si>
    <t>70585664</t>
  </si>
  <si>
    <t>VILLANUEVA RODRIGUEZ LEIDY KELLY</t>
  </si>
  <si>
    <t>45196718</t>
  </si>
  <si>
    <t>YPANAQUE ROJAS CRISTIAN YORDAN</t>
  </si>
  <si>
    <t>74024310</t>
  </si>
  <si>
    <t>TORRES SARMIENTO ALVARO STIPS</t>
  </si>
  <si>
    <t xml:space="preserve">ZEVALLOS RUIZ CARLOS ALBERTO </t>
  </si>
  <si>
    <t>03687277</t>
  </si>
  <si>
    <t>ZOLEZZI ANGULO DANTE ANGELO</t>
  </si>
  <si>
    <t>16797820</t>
  </si>
  <si>
    <t>VARGAS OSTOLAZA PEDRO ALEJANDRO</t>
  </si>
  <si>
    <t>74237039</t>
  </si>
  <si>
    <t>VASQUEZ FEBRE ALEX JUNIOR</t>
  </si>
  <si>
    <t>70516632</t>
  </si>
  <si>
    <t>FUENTES FLORES DEBORAH</t>
  </si>
  <si>
    <t>Trujillo</t>
  </si>
  <si>
    <t>RODRIGUEZ URBANO MARCO ANTONIO</t>
  </si>
  <si>
    <t>72727318</t>
  </si>
  <si>
    <t>Anila Sandoval</t>
  </si>
  <si>
    <t>GUTIERREZ TRUJILLO JUDITH LISBET</t>
  </si>
  <si>
    <t>45460634</t>
  </si>
  <si>
    <t>FLORES DIAZ VANESSA</t>
  </si>
  <si>
    <t>GOICOCHEA CUEVA RACHEL ANGELINA</t>
  </si>
  <si>
    <t>72730803</t>
  </si>
  <si>
    <t>GRANDA PERALTA MARIA LUISA</t>
  </si>
  <si>
    <t>07627491</t>
  </si>
  <si>
    <t>SOPLAPUCO RUIZ WALTER ORLANDO</t>
  </si>
  <si>
    <t>80644579</t>
  </si>
  <si>
    <t>San Isidro</t>
  </si>
  <si>
    <t>GIRON BORDA ALBERTO GIANFRANCO.</t>
  </si>
  <si>
    <t>72152623</t>
  </si>
  <si>
    <t>LIMA II</t>
  </si>
  <si>
    <t>ASISTENTE SOPORTE TÉCNICO</t>
  </si>
  <si>
    <t>SANCHEZ AVELINO JULIO CESAR</t>
  </si>
  <si>
    <t>10593811</t>
  </si>
  <si>
    <t>HIDALGO BARCENAS HEYDEE JACQELINNE</t>
  </si>
  <si>
    <t>002306374</t>
  </si>
  <si>
    <t>CARRION CRUZ GABRIELA JAQUELINE</t>
  </si>
  <si>
    <t>70859521</t>
  </si>
  <si>
    <t>VILLANUEVA RODRIGUEZ POOL</t>
  </si>
  <si>
    <t>10034582</t>
  </si>
  <si>
    <t>YACTAYO BELLIDO BRILLIT</t>
  </si>
  <si>
    <t>75412054</t>
  </si>
  <si>
    <t>ZAPATA EIZAGUIRRE BARBARA MARIA LUISA</t>
  </si>
  <si>
    <t>09676410</t>
  </si>
  <si>
    <t>FIGUEREDO JARAMILLO ADA</t>
  </si>
  <si>
    <t>006838196</t>
  </si>
  <si>
    <t>si</t>
  </si>
  <si>
    <t>CORREA CASTREJON EDITH MARILU</t>
  </si>
  <si>
    <t>MONZON MIÑANO CRISTIAN YONATAN</t>
  </si>
  <si>
    <t>IPARRAGUIRRE SALVATIERRA DEYSE MILENY</t>
  </si>
  <si>
    <t>RODRIGUEZ CONCEPCION KEYLA YUSSARA</t>
  </si>
  <si>
    <t>RAMOS MAGIPO KORY ESTEFANY</t>
  </si>
  <si>
    <t>CARRASCO MACALUPU LUIS GUSTAVO</t>
  </si>
  <si>
    <t>RAMOS FIESTAS JESSICA PAOLA</t>
  </si>
  <si>
    <t>Lince</t>
  </si>
  <si>
    <t>SANCHEZ PRUDENCIO LUIS MARTIN</t>
  </si>
  <si>
    <t>ASISTENTE DE CALIDAD</t>
  </si>
  <si>
    <t>SANCHEZ COLLANTES LOURDES ELIZABETH</t>
  </si>
  <si>
    <t>40156167</t>
  </si>
  <si>
    <t>GESTOR TELEFÓNICO</t>
  </si>
  <si>
    <t>JAVIEL LLONTOP GUADALUPE DEL SOCORRO</t>
  </si>
  <si>
    <t>71338434</t>
  </si>
  <si>
    <t>PEÑA CODARLUPO MELANIE RUTH</t>
  </si>
  <si>
    <t>70339932</t>
  </si>
  <si>
    <t>ATOCHE GOMEZ CARMEN ELISABET</t>
  </si>
  <si>
    <t>47787090</t>
  </si>
  <si>
    <t>BACK OFFICE</t>
  </si>
  <si>
    <t>Engels Vásquez</t>
  </si>
  <si>
    <t>ROSALES SILVA MAXIMILIANO SANTIAGO</t>
  </si>
  <si>
    <t>71960754</t>
  </si>
  <si>
    <t>MONGE VILLA OSWALDO ENRIQUE</t>
  </si>
  <si>
    <t>41647388</t>
  </si>
  <si>
    <t>ARREDONDO GOMEZ YVI</t>
  </si>
  <si>
    <t>41217256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</si>
</sst>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 Light"/>
      <family val="1"/>
      <scheme val="major"/>
    </font>
    <font>
      <sz val="11"/>
      <color rgb="FF000000"/>
      <name val="Calibri"/>
    </font>
    <font>
      <sz val="10"/>
      <color rgb="FF000000"/>
      <name val="Calibri"/>
      <charset val="1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164" fontId="0" fillId="0" borderId="0"/>
  </cellStyleXfs>
  <cellXfs count="60">
    <xf numFmtId="164" fontId="0" fillId="0" borderId="0" xfId="0"/>
    <xf numFmtId="164" fontId="0" fillId="0" borderId="0" xfId="0" applyAlignment="1">
      <alignment horizontal="left"/>
    </xf>
    <xf numFmtId="164" fontId="0" fillId="0" borderId="0" xfId="0" applyAlignment="1">
      <alignment horizontal="center"/>
    </xf>
    <xf numFmtId="164" fontId="2" fillId="4" borderId="1" xfId="0" applyFont="1" applyFill="1" applyBorder="1" applyAlignment="1">
      <alignment horizontal="center" vertical="center" wrapText="1"/>
    </xf>
    <xf numFmtId="164" fontId="3" fillId="4" borderId="1" xfId="0" applyFont="1" applyFill="1" applyBorder="1" applyAlignment="1">
      <alignment horizontal="center" vertical="center"/>
    </xf>
    <xf numFmtId="164" fontId="4" fillId="4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164" fontId="4" fillId="4" borderId="1" xfId="0" applyFont="1" applyFill="1" applyBorder="1" applyAlignment="1">
      <alignment horizontal="center" vertical="center"/>
    </xf>
    <xf numFmtId="164" fontId="5" fillId="0" borderId="0" xfId="0" applyFont="1"/>
    <xf numFmtId="0" fontId="2" fillId="2" borderId="2" xfId="0" applyNumberFormat="1" applyFont="1" applyFill="1" applyBorder="1" applyAlignment="1">
      <alignment horizontal="center"/>
    </xf>
    <xf numFmtId="164" fontId="6" fillId="4" borderId="2" xfId="0" applyFont="1" applyFill="1" applyBorder="1"/>
    <xf numFmtId="164" fontId="1" fillId="2" borderId="2" xfId="0" applyFont="1" applyFill="1" applyBorder="1"/>
    <xf numFmtId="164" fontId="1" fillId="2" borderId="2" xfId="0" applyFont="1" applyFill="1" applyBorder="1" applyAlignment="1">
      <alignment horizontal="left"/>
    </xf>
    <xf numFmtId="164" fontId="1" fillId="2" borderId="2" xfId="0" applyFont="1" applyFill="1" applyBorder="1" applyAlignment="1">
      <alignment horizontal="center"/>
    </xf>
    <xf numFmtId="164" fontId="1" fillId="5" borderId="2" xfId="0" applyFont="1" applyFill="1" applyBorder="1"/>
    <xf numFmtId="49" fontId="1" fillId="2" borderId="2" xfId="0" applyNumberFormat="1" applyFont="1" applyFill="1" applyBorder="1" applyAlignment="1">
      <alignment horizontal="center"/>
    </xf>
    <xf numFmtId="164" fontId="1" fillId="2" borderId="2" xfId="0" applyFont="1" applyFill="1" applyBorder="1" applyAlignment="1">
      <alignment vertical="center"/>
    </xf>
    <xf numFmtId="164" fontId="1" fillId="5" borderId="2" xfId="0" applyFont="1" applyFill="1" applyBorder="1" applyAlignment="1">
      <alignment horizontal="left"/>
    </xf>
    <xf numFmtId="14" fontId="1" fillId="2" borderId="2" xfId="0" applyNumberFormat="1" applyFont="1" applyFill="1" applyBorder="1" applyAlignment="1">
      <alignment horizontal="center"/>
    </xf>
    <xf numFmtId="1" fontId="7" fillId="3" borderId="2" xfId="0" applyNumberFormat="1" applyFont="1" applyFill="1" applyBorder="1" applyAlignment="1">
      <alignment horizontal="center"/>
    </xf>
    <xf numFmtId="14" fontId="7" fillId="3" borderId="2" xfId="0" applyNumberFormat="1" applyFont="1" applyFill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64" fontId="1" fillId="6" borderId="2" xfId="0" applyFont="1" applyFill="1" applyBorder="1"/>
    <xf numFmtId="164" fontId="1" fillId="6" borderId="2" xfId="0" applyFont="1" applyFill="1" applyBorder="1" applyAlignment="1">
      <alignment horizontal="left"/>
    </xf>
    <xf numFmtId="164" fontId="6" fillId="7" borderId="2" xfId="0" applyFont="1" applyFill="1" applyBorder="1"/>
    <xf numFmtId="14" fontId="7" fillId="0" borderId="2" xfId="0" applyNumberFormat="1" applyFont="1" applyBorder="1" applyAlignment="1">
      <alignment horizontal="center"/>
    </xf>
    <xf numFmtId="164" fontId="1" fillId="6" borderId="2" xfId="0" applyFont="1" applyFill="1" applyBorder="1" applyAlignment="1">
      <alignment vertical="center"/>
    </xf>
    <xf numFmtId="14" fontId="7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164" fontId="1" fillId="2" borderId="3" xfId="0" applyFont="1" applyFill="1" applyBorder="1" applyAlignment="1">
      <alignment horizontal="center"/>
    </xf>
    <xf numFmtId="164" fontId="1" fillId="2" borderId="3" xfId="0" applyFont="1" applyFill="1" applyBorder="1" applyAlignment="1">
      <alignment vertical="center"/>
    </xf>
    <xf numFmtId="164" fontId="1" fillId="2" borderId="2" xfId="0" applyFont="1" applyFill="1" applyBorder="1" applyAlignment="1">
      <alignment horizontal="center" vertical="center"/>
    </xf>
    <xf numFmtId="164" fontId="0" fillId="2" borderId="2" xfId="0" applyFill="1" applyBorder="1" applyAlignment="1">
      <alignment horizontal="left"/>
    </xf>
    <xf numFmtId="164" fontId="1" fillId="5" borderId="2" xfId="0" applyFont="1" applyFill="1" applyBorder="1" applyAlignment="1">
      <alignment horizontal="center"/>
    </xf>
    <xf numFmtId="14" fontId="1" fillId="5" borderId="2" xfId="0" applyNumberFormat="1" applyFont="1" applyFill="1" applyBorder="1" applyAlignment="1">
      <alignment horizontal="center"/>
    </xf>
    <xf numFmtId="164" fontId="0" fillId="3" borderId="2" xfId="0" applyFill="1" applyBorder="1" applyAlignment="1">
      <alignment horizontal="center"/>
    </xf>
    <xf numFmtId="164" fontId="0" fillId="2" borderId="2" xfId="0" applyFill="1" applyBorder="1" applyAlignment="1">
      <alignment horizontal="center"/>
    </xf>
    <xf numFmtId="164" fontId="9" fillId="2" borderId="2" xfId="0" applyFont="1" applyFill="1" applyBorder="1" applyAlignment="1">
      <alignment horizontal="left"/>
    </xf>
    <xf numFmtId="164" fontId="1" fillId="2" borderId="0" xfId="0" applyFont="1" applyFill="1"/>
    <xf numFmtId="164" fontId="9" fillId="0" borderId="2" xfId="0" applyFont="1" applyBorder="1"/>
    <xf numFmtId="164" fontId="6" fillId="2" borderId="2" xfId="0" applyFont="1" applyFill="1" applyBorder="1"/>
    <xf numFmtId="164" fontId="0" fillId="2" borderId="2" xfId="0" applyFill="1" applyBorder="1"/>
    <xf numFmtId="164" fontId="0" fillId="0" borderId="2" xfId="0" applyBorder="1"/>
    <xf numFmtId="164" fontId="1" fillId="2" borderId="2" xfId="0" applyFont="1" applyFill="1" applyBorder="1" applyAlignment="1">
      <alignment wrapText="1"/>
    </xf>
    <xf numFmtId="164" fontId="0" fillId="5" borderId="2" xfId="0" applyFill="1" applyBorder="1"/>
    <xf numFmtId="164" fontId="10" fillId="0" borderId="2" xfId="0" applyFont="1" applyBorder="1"/>
    <xf numFmtId="164" fontId="1" fillId="5" borderId="2" xfId="0" applyFont="1" applyFill="1" applyBorder="1" applyAlignment="1">
      <alignment vertical="center"/>
    </xf>
    <xf numFmtId="164" fontId="1" fillId="2" borderId="3" xfId="0" applyFont="1" applyFill="1" applyBorder="1"/>
    <xf numFmtId="14" fontId="1" fillId="2" borderId="2" xfId="0" applyNumberFormat="1" applyFont="1" applyFill="1" applyBorder="1" applyAlignment="1">
      <alignment horizontal="center" vertical="center"/>
    </xf>
    <xf numFmtId="164" fontId="1" fillId="6" borderId="2" xfId="0" applyFont="1" applyFill="1" applyBorder="1" applyAlignment="1">
      <alignment horizontal="center"/>
    </xf>
    <xf numFmtId="164" fontId="1" fillId="2" borderId="4" xfId="0" applyFont="1" applyFill="1" applyBorder="1"/>
    <xf numFmtId="164" fontId="1" fillId="2" borderId="5" xfId="0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164" fontId="1" fillId="2" borderId="6" xfId="0" applyFont="1" applyFill="1" applyBorder="1" applyAlignment="1">
      <alignment horizontal="center"/>
    </xf>
    <xf numFmtId="164" fontId="1" fillId="2" borderId="6" xfId="0" applyFont="1" applyFill="1" applyBorder="1"/>
    <xf numFmtId="164" fontId="1" fillId="2" borderId="5" xfId="0" applyFont="1" applyFill="1" applyBorder="1"/>
    <xf numFmtId="164" fontId="1" fillId="7" borderId="2" xfId="0" applyFont="1" applyFill="1" applyBorder="1" applyAlignment="1">
      <alignment horizontal="center"/>
    </xf>
    <xf numFmtId="164" fontId="1" fillId="2" borderId="6" xfId="0" applyFont="1" applyFill="1" applyBorder="1" applyAlignment="1">
      <alignment vertical="center"/>
    </xf>
    <xf numFmtId="164" fontId="1" fillId="2" borderId="7" xfId="0" applyFont="1" applyFill="1" applyBorder="1" applyAlignment="1">
      <alignment horizontal="center"/>
    </xf>
    <xf numFmtId="164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CF75-F372-4488-8A3F-967461DA1EF5}">
  <dimension ref="A1:T310"/>
  <sheetViews>
    <sheetView tabSelected="1" topLeftCell="A276" workbookViewId="0">
      <selection activeCell="K1" sqref="K1:K297"/>
    </sheetView>
  </sheetViews>
  <sheetFormatPr baseColWidth="10" defaultColWidth="11.42578125" defaultRowHeight="15" x14ac:dyDescent="0.25"/>
  <cols>
    <col min="1" max="1" width="4.5703125" style="59" customWidth="1"/>
    <col min="2" max="3" width="21.28515625" customWidth="1"/>
    <col min="4" max="4" width="14.28515625" style="1" customWidth="1"/>
    <col min="5" max="5" width="3.42578125" customWidth="1"/>
    <col min="6" max="6" width="42" bestFit="1" customWidth="1"/>
    <col min="7" max="7" width="12.28515625" customWidth="1"/>
    <col min="8" max="10" width="11.42578125" customWidth="1"/>
    <col min="11" max="11" width="18.7109375" customWidth="1"/>
    <col min="12" max="12" width="10.42578125" style="2" customWidth="1"/>
    <col min="13" max="15" width="11.42578125" customWidth="1"/>
    <col min="16" max="16" width="16.140625" customWidth="1"/>
    <col min="17" max="17" width="4.140625" customWidth="1"/>
    <col min="20" max="20" width="11.42578125" style="2"/>
  </cols>
  <sheetData>
    <row r="1" spans="1:20" s="8" customFormat="1" ht="48" x14ac:dyDescent="0.2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R1" s="5" t="s">
        <v>16</v>
      </c>
      <c r="S1" s="5" t="s">
        <v>17</v>
      </c>
      <c r="T1" s="5" t="s">
        <v>18</v>
      </c>
    </row>
    <row r="2" spans="1:20" x14ac:dyDescent="0.25">
      <c r="A2" s="9">
        <v>1</v>
      </c>
      <c r="B2" s="10" t="s">
        <v>19</v>
      </c>
      <c r="C2" s="11" t="s">
        <v>20</v>
      </c>
      <c r="D2" s="12"/>
      <c r="E2" s="13" t="s">
        <v>21</v>
      </c>
      <c r="F2" s="14" t="s">
        <v>22</v>
      </c>
      <c r="G2" s="15" t="s">
        <v>23</v>
      </c>
      <c r="H2" s="13" t="s">
        <v>24</v>
      </c>
      <c r="I2" s="16" t="s">
        <v>25</v>
      </c>
      <c r="J2" s="11" t="s">
        <v>26</v>
      </c>
      <c r="K2" s="12" t="s">
        <v>27</v>
      </c>
      <c r="L2" s="12"/>
      <c r="M2" s="17" t="s">
        <v>28</v>
      </c>
      <c r="N2" s="18">
        <v>45539</v>
      </c>
      <c r="O2" s="19" t="e">
        <f>#REF!-N2</f>
        <v>#REF!</v>
      </c>
      <c r="P2" s="20" t="e">
        <f t="shared" ref="P2:P51" si="0">IF(O2&lt;=180,"NUEVO",IF(O2&lt;=360,"NOVEL",IF(O2&lt;=720,"SENIOR JUNIOR",IF(O2&lt;=1800,"SENIOR","MASTER"))))</f>
        <v>#REF!</v>
      </c>
      <c r="R2" s="20" t="s">
        <v>29</v>
      </c>
      <c r="S2" s="20" t="s">
        <v>29</v>
      </c>
      <c r="T2" s="21" t="s">
        <v>30</v>
      </c>
    </row>
    <row r="3" spans="1:20" x14ac:dyDescent="0.25">
      <c r="A3" s="9">
        <v>2</v>
      </c>
      <c r="B3" s="10" t="s">
        <v>31</v>
      </c>
      <c r="C3" s="11" t="s">
        <v>32</v>
      </c>
      <c r="D3" s="12"/>
      <c r="E3" s="13" t="s">
        <v>21</v>
      </c>
      <c r="F3" s="22" t="s">
        <v>33</v>
      </c>
      <c r="G3" s="15" t="s">
        <v>34</v>
      </c>
      <c r="H3" s="13" t="s">
        <v>35</v>
      </c>
      <c r="I3" s="11" t="s">
        <v>36</v>
      </c>
      <c r="J3" s="11" t="s">
        <v>26</v>
      </c>
      <c r="K3" s="12" t="s">
        <v>27</v>
      </c>
      <c r="L3" s="12"/>
      <c r="M3" s="23" t="s">
        <v>37</v>
      </c>
      <c r="N3" s="18">
        <v>45748</v>
      </c>
      <c r="O3" s="19" t="e">
        <f>#REF!-N3</f>
        <v>#REF!</v>
      </c>
      <c r="P3" s="20" t="e">
        <f t="shared" si="0"/>
        <v>#REF!</v>
      </c>
      <c r="R3" s="20" t="s">
        <v>29</v>
      </c>
      <c r="S3" s="20" t="s">
        <v>29</v>
      </c>
      <c r="T3" s="21" t="s">
        <v>30</v>
      </c>
    </row>
    <row r="4" spans="1:20" x14ac:dyDescent="0.25">
      <c r="A4" s="9">
        <v>3</v>
      </c>
      <c r="B4" s="10" t="s">
        <v>19</v>
      </c>
      <c r="C4" s="11" t="s">
        <v>20</v>
      </c>
      <c r="D4" s="12"/>
      <c r="E4" s="13" t="s">
        <v>21</v>
      </c>
      <c r="F4" s="14" t="s">
        <v>38</v>
      </c>
      <c r="G4" s="15" t="s">
        <v>39</v>
      </c>
      <c r="H4" s="13" t="s">
        <v>24</v>
      </c>
      <c r="I4" s="16" t="s">
        <v>25</v>
      </c>
      <c r="J4" s="11" t="s">
        <v>26</v>
      </c>
      <c r="K4" s="12" t="s">
        <v>27</v>
      </c>
      <c r="L4" s="12"/>
      <c r="M4" s="17" t="s">
        <v>28</v>
      </c>
      <c r="N4" s="18">
        <v>45810</v>
      </c>
      <c r="O4" s="19" t="e">
        <f>#REF!-N4</f>
        <v>#REF!</v>
      </c>
      <c r="P4" s="20" t="e">
        <f t="shared" si="0"/>
        <v>#REF!</v>
      </c>
      <c r="R4" s="20" t="s">
        <v>29</v>
      </c>
      <c r="S4" s="20" t="s">
        <v>29</v>
      </c>
      <c r="T4" s="21" t="s">
        <v>30</v>
      </c>
    </row>
    <row r="5" spans="1:20" x14ac:dyDescent="0.25">
      <c r="A5" s="9">
        <v>4</v>
      </c>
      <c r="B5" s="10" t="s">
        <v>40</v>
      </c>
      <c r="C5" s="11" t="s">
        <v>41</v>
      </c>
      <c r="D5" s="12"/>
      <c r="E5" s="13" t="s">
        <v>21</v>
      </c>
      <c r="F5" s="22" t="s">
        <v>42</v>
      </c>
      <c r="G5" s="15" t="s">
        <v>43</v>
      </c>
      <c r="H5" s="13" t="s">
        <v>24</v>
      </c>
      <c r="I5" s="11" t="s">
        <v>36</v>
      </c>
      <c r="J5" s="11" t="s">
        <v>26</v>
      </c>
      <c r="K5" s="12" t="s">
        <v>27</v>
      </c>
      <c r="L5" s="12"/>
      <c r="M5" s="23" t="s">
        <v>44</v>
      </c>
      <c r="N5" s="18">
        <v>45809</v>
      </c>
      <c r="O5" s="19" t="e">
        <f>#REF!-N5</f>
        <v>#REF!</v>
      </c>
      <c r="P5" s="20" t="e">
        <f t="shared" si="0"/>
        <v>#REF!</v>
      </c>
      <c r="R5" s="20" t="s">
        <v>29</v>
      </c>
      <c r="S5" s="20" t="s">
        <v>29</v>
      </c>
      <c r="T5" s="21" t="s">
        <v>30</v>
      </c>
    </row>
    <row r="6" spans="1:20" x14ac:dyDescent="0.25">
      <c r="A6" s="9">
        <v>5</v>
      </c>
      <c r="B6" s="10" t="s">
        <v>45</v>
      </c>
      <c r="C6" s="11" t="s">
        <v>41</v>
      </c>
      <c r="D6" s="12"/>
      <c r="E6" s="13" t="s">
        <v>21</v>
      </c>
      <c r="F6" s="22" t="s">
        <v>46</v>
      </c>
      <c r="G6" s="15" t="s">
        <v>47</v>
      </c>
      <c r="H6" s="13" t="s">
        <v>24</v>
      </c>
      <c r="I6" s="11" t="s">
        <v>36</v>
      </c>
      <c r="J6" s="11" t="s">
        <v>26</v>
      </c>
      <c r="K6" s="12" t="s">
        <v>27</v>
      </c>
      <c r="L6" s="12"/>
      <c r="M6" s="23" t="s">
        <v>48</v>
      </c>
      <c r="N6" s="18">
        <v>45156</v>
      </c>
      <c r="O6" s="19" t="e">
        <f>#REF!-N6</f>
        <v>#REF!</v>
      </c>
      <c r="P6" s="20" t="e">
        <f t="shared" si="0"/>
        <v>#REF!</v>
      </c>
      <c r="R6" s="20" t="s">
        <v>29</v>
      </c>
      <c r="S6" s="20" t="s">
        <v>29</v>
      </c>
      <c r="T6" s="21" t="s">
        <v>30</v>
      </c>
    </row>
    <row r="7" spans="1:20" x14ac:dyDescent="0.25">
      <c r="A7" s="9">
        <v>6</v>
      </c>
      <c r="B7" s="10" t="s">
        <v>31</v>
      </c>
      <c r="C7" s="11" t="s">
        <v>32</v>
      </c>
      <c r="D7" s="12"/>
      <c r="E7" s="13" t="s">
        <v>21</v>
      </c>
      <c r="F7" s="26" t="s">
        <v>49</v>
      </c>
      <c r="G7" s="15" t="s">
        <v>50</v>
      </c>
      <c r="H7" s="13" t="s">
        <v>35</v>
      </c>
      <c r="I7" s="11" t="s">
        <v>36</v>
      </c>
      <c r="J7" s="11" t="s">
        <v>26</v>
      </c>
      <c r="K7" s="12" t="s">
        <v>27</v>
      </c>
      <c r="L7" s="12"/>
      <c r="M7" s="23" t="s">
        <v>37</v>
      </c>
      <c r="N7" s="18">
        <v>44774</v>
      </c>
      <c r="O7" s="19" t="e">
        <f>#REF!-N7</f>
        <v>#REF!</v>
      </c>
      <c r="P7" s="20" t="e">
        <f t="shared" si="0"/>
        <v>#REF!</v>
      </c>
      <c r="R7" s="20" t="s">
        <v>29</v>
      </c>
      <c r="S7" s="20" t="s">
        <v>29</v>
      </c>
      <c r="T7" s="21" t="s">
        <v>30</v>
      </c>
    </row>
    <row r="8" spans="1:20" x14ac:dyDescent="0.25">
      <c r="A8" s="9">
        <v>7</v>
      </c>
      <c r="B8" s="10" t="s">
        <v>51</v>
      </c>
      <c r="C8" s="11" t="s">
        <v>52</v>
      </c>
      <c r="D8" s="12"/>
      <c r="E8" s="13" t="s">
        <v>21</v>
      </c>
      <c r="F8" s="11" t="s">
        <v>53</v>
      </c>
      <c r="G8" s="15" t="s">
        <v>54</v>
      </c>
      <c r="H8" s="13" t="s">
        <v>24</v>
      </c>
      <c r="I8" s="11" t="s">
        <v>55</v>
      </c>
      <c r="J8" s="11" t="s">
        <v>26</v>
      </c>
      <c r="K8" s="12" t="s">
        <v>56</v>
      </c>
      <c r="L8" s="13" t="s">
        <v>57</v>
      </c>
      <c r="M8" s="12"/>
      <c r="N8" s="18">
        <v>45720</v>
      </c>
      <c r="O8" s="19" t="e">
        <f>#REF!-N8</f>
        <v>#REF!</v>
      </c>
      <c r="P8" s="20" t="e">
        <f t="shared" si="0"/>
        <v>#REF!</v>
      </c>
      <c r="R8" s="27"/>
      <c r="S8" s="27"/>
      <c r="T8" s="21" t="e">
        <v>#N/A</v>
      </c>
    </row>
    <row r="9" spans="1:20" x14ac:dyDescent="0.25">
      <c r="A9" s="9">
        <v>8</v>
      </c>
      <c r="B9" s="10" t="s">
        <v>58</v>
      </c>
      <c r="C9" s="11"/>
      <c r="D9" s="12"/>
      <c r="E9" s="13" t="s">
        <v>21</v>
      </c>
      <c r="F9" s="22" t="s">
        <v>59</v>
      </c>
      <c r="G9" s="28" t="s">
        <v>60</v>
      </c>
      <c r="H9" s="29" t="s">
        <v>24</v>
      </c>
      <c r="I9" s="30" t="s">
        <v>36</v>
      </c>
      <c r="J9" s="16" t="s">
        <v>61</v>
      </c>
      <c r="K9" s="12" t="s">
        <v>62</v>
      </c>
      <c r="L9" s="12"/>
      <c r="M9" s="23"/>
      <c r="N9" s="18">
        <v>45839</v>
      </c>
      <c r="O9" s="19" t="e">
        <f>#REF!-N9</f>
        <v>#REF!</v>
      </c>
      <c r="P9" s="20" t="e">
        <f t="shared" si="0"/>
        <v>#REF!</v>
      </c>
      <c r="R9" s="27"/>
      <c r="S9" s="27"/>
      <c r="T9" s="21" t="e">
        <v>#N/A</v>
      </c>
    </row>
    <row r="10" spans="1:20" x14ac:dyDescent="0.25">
      <c r="A10" s="9">
        <v>9</v>
      </c>
      <c r="B10" s="10" t="s">
        <v>19</v>
      </c>
      <c r="C10" s="11" t="s">
        <v>20</v>
      </c>
      <c r="D10" s="12"/>
      <c r="E10" s="13" t="s">
        <v>21</v>
      </c>
      <c r="F10" s="14" t="s">
        <v>63</v>
      </c>
      <c r="G10" s="15" t="s">
        <v>64</v>
      </c>
      <c r="H10" s="13" t="s">
        <v>24</v>
      </c>
      <c r="I10" s="11" t="s">
        <v>55</v>
      </c>
      <c r="J10" s="11" t="s">
        <v>26</v>
      </c>
      <c r="K10" s="12" t="s">
        <v>27</v>
      </c>
      <c r="L10" s="12"/>
      <c r="M10" s="17" t="s">
        <v>28</v>
      </c>
      <c r="N10" s="18">
        <v>45170</v>
      </c>
      <c r="O10" s="19" t="e">
        <f>#REF!-N10</f>
        <v>#REF!</v>
      </c>
      <c r="P10" s="20" t="e">
        <f t="shared" si="0"/>
        <v>#REF!</v>
      </c>
      <c r="R10" s="20" t="s">
        <v>29</v>
      </c>
      <c r="S10" s="25"/>
      <c r="T10" s="21" t="s">
        <v>30</v>
      </c>
    </row>
    <row r="11" spans="1:20" x14ac:dyDescent="0.25">
      <c r="A11" s="9">
        <v>10</v>
      </c>
      <c r="B11" s="10" t="s">
        <v>65</v>
      </c>
      <c r="C11" s="11" t="s">
        <v>66</v>
      </c>
      <c r="D11" s="12"/>
      <c r="E11" s="13" t="s">
        <v>21</v>
      </c>
      <c r="F11" s="11" t="s">
        <v>67</v>
      </c>
      <c r="G11" s="15" t="s">
        <v>68</v>
      </c>
      <c r="H11" s="13" t="s">
        <v>24</v>
      </c>
      <c r="I11" s="11" t="s">
        <v>36</v>
      </c>
      <c r="J11" s="11" t="s">
        <v>26</v>
      </c>
      <c r="K11" s="12" t="s">
        <v>62</v>
      </c>
      <c r="L11" s="12"/>
      <c r="M11" s="12"/>
      <c r="N11" s="18">
        <v>44774</v>
      </c>
      <c r="O11" s="19" t="e">
        <f>#REF!-N11</f>
        <v>#REF!</v>
      </c>
      <c r="P11" s="20" t="e">
        <f t="shared" si="0"/>
        <v>#REF!</v>
      </c>
      <c r="R11" s="20"/>
      <c r="S11" s="20"/>
      <c r="T11" s="21" t="s">
        <v>30</v>
      </c>
    </row>
    <row r="12" spans="1:20" x14ac:dyDescent="0.25">
      <c r="A12" s="9">
        <v>11</v>
      </c>
      <c r="B12" s="10" t="s">
        <v>40</v>
      </c>
      <c r="C12" s="11" t="s">
        <v>41</v>
      </c>
      <c r="D12" s="12"/>
      <c r="E12" s="13" t="s">
        <v>21</v>
      </c>
      <c r="F12" s="14" t="s">
        <v>69</v>
      </c>
      <c r="G12" s="15" t="s">
        <v>70</v>
      </c>
      <c r="H12" s="13" t="s">
        <v>24</v>
      </c>
      <c r="I12" s="11" t="s">
        <v>55</v>
      </c>
      <c r="J12" s="11" t="s">
        <v>26</v>
      </c>
      <c r="K12" s="12" t="s">
        <v>27</v>
      </c>
      <c r="L12" s="12"/>
      <c r="M12" s="17" t="s">
        <v>71</v>
      </c>
      <c r="N12" s="18">
        <v>45628</v>
      </c>
      <c r="O12" s="19" t="e">
        <f>#REF!-N12</f>
        <v>#REF!</v>
      </c>
      <c r="P12" s="20" t="e">
        <f t="shared" si="0"/>
        <v>#REF!</v>
      </c>
      <c r="R12" s="25"/>
      <c r="S12" s="25"/>
      <c r="T12" s="21" t="s">
        <v>30</v>
      </c>
    </row>
    <row r="13" spans="1:20" x14ac:dyDescent="0.25">
      <c r="A13" s="9">
        <v>12</v>
      </c>
      <c r="B13" s="10" t="s">
        <v>58</v>
      </c>
      <c r="C13" s="11" t="s">
        <v>72</v>
      </c>
      <c r="D13" s="12"/>
      <c r="E13" s="13" t="s">
        <v>21</v>
      </c>
      <c r="F13" s="26" t="s">
        <v>73</v>
      </c>
      <c r="G13" s="15" t="s">
        <v>74</v>
      </c>
      <c r="H13" s="31" t="s">
        <v>24</v>
      </c>
      <c r="I13" s="16" t="s">
        <v>36</v>
      </c>
      <c r="J13" s="16" t="s">
        <v>26</v>
      </c>
      <c r="K13" s="12" t="s">
        <v>75</v>
      </c>
      <c r="L13" s="12"/>
      <c r="M13" s="23"/>
      <c r="N13" s="18">
        <v>45778</v>
      </c>
      <c r="O13" s="19" t="e">
        <f>#REF!-N13</f>
        <v>#REF!</v>
      </c>
      <c r="P13" s="20" t="e">
        <f t="shared" si="0"/>
        <v>#REF!</v>
      </c>
      <c r="R13" s="20"/>
      <c r="S13" s="20"/>
      <c r="T13" s="21" t="s">
        <v>30</v>
      </c>
    </row>
    <row r="14" spans="1:20" x14ac:dyDescent="0.25">
      <c r="A14" s="9">
        <v>13</v>
      </c>
      <c r="B14" s="10" t="s">
        <v>58</v>
      </c>
      <c r="C14" s="11" t="s">
        <v>76</v>
      </c>
      <c r="D14" s="12"/>
      <c r="E14" s="13" t="s">
        <v>21</v>
      </c>
      <c r="F14" s="26" t="s">
        <v>77</v>
      </c>
      <c r="G14" s="15" t="s">
        <v>78</v>
      </c>
      <c r="H14" s="31" t="s">
        <v>24</v>
      </c>
      <c r="I14" s="16" t="s">
        <v>36</v>
      </c>
      <c r="J14" s="16" t="s">
        <v>61</v>
      </c>
      <c r="K14" s="12" t="s">
        <v>79</v>
      </c>
      <c r="L14" s="12"/>
      <c r="M14" s="23"/>
      <c r="N14" s="18">
        <v>44713</v>
      </c>
      <c r="O14" s="19" t="e">
        <f>#REF!-N14</f>
        <v>#REF!</v>
      </c>
      <c r="P14" s="20" t="e">
        <f t="shared" si="0"/>
        <v>#REF!</v>
      </c>
      <c r="R14" s="20"/>
      <c r="S14" s="20"/>
      <c r="T14" s="21" t="e">
        <v>#N/A</v>
      </c>
    </row>
    <row r="15" spans="1:20" x14ac:dyDescent="0.25">
      <c r="A15" s="9">
        <v>14</v>
      </c>
      <c r="B15" s="10" t="s">
        <v>58</v>
      </c>
      <c r="C15" s="11"/>
      <c r="D15" s="12"/>
      <c r="E15" s="13" t="s">
        <v>21</v>
      </c>
      <c r="F15" s="22" t="s">
        <v>80</v>
      </c>
      <c r="G15" s="15" t="s">
        <v>81</v>
      </c>
      <c r="H15" s="13" t="s">
        <v>24</v>
      </c>
      <c r="I15" s="11" t="s">
        <v>36</v>
      </c>
      <c r="J15" s="11" t="s">
        <v>26</v>
      </c>
      <c r="K15" s="12" t="s">
        <v>82</v>
      </c>
      <c r="L15" s="12"/>
      <c r="M15" s="23" t="s">
        <v>83</v>
      </c>
      <c r="N15" s="18">
        <v>45444</v>
      </c>
      <c r="O15" s="19" t="e">
        <f>#REF!-N15</f>
        <v>#REF!</v>
      </c>
      <c r="P15" s="20" t="e">
        <f t="shared" si="0"/>
        <v>#REF!</v>
      </c>
      <c r="R15" s="20" t="s">
        <v>29</v>
      </c>
      <c r="S15" s="20" t="s">
        <v>29</v>
      </c>
      <c r="T15" s="21" t="s">
        <v>30</v>
      </c>
    </row>
    <row r="16" spans="1:20" x14ac:dyDescent="0.25">
      <c r="A16" s="9">
        <v>15</v>
      </c>
      <c r="B16" s="10" t="s">
        <v>65</v>
      </c>
      <c r="C16" s="11" t="s">
        <v>84</v>
      </c>
      <c r="D16" s="12"/>
      <c r="E16" s="13" t="s">
        <v>21</v>
      </c>
      <c r="F16" s="16" t="s">
        <v>85</v>
      </c>
      <c r="G16" s="15" t="s">
        <v>86</v>
      </c>
      <c r="H16" s="31" t="s">
        <v>24</v>
      </c>
      <c r="I16" s="16" t="s">
        <v>25</v>
      </c>
      <c r="J16" s="16" t="s">
        <v>26</v>
      </c>
      <c r="K16" s="12" t="s">
        <v>87</v>
      </c>
      <c r="L16" s="12"/>
      <c r="M16" s="12"/>
      <c r="N16" s="18">
        <v>45068</v>
      </c>
      <c r="O16" s="19" t="e">
        <f>#REF!-N16</f>
        <v>#REF!</v>
      </c>
      <c r="P16" s="20" t="e">
        <f t="shared" si="0"/>
        <v>#REF!</v>
      </c>
      <c r="R16" s="20"/>
      <c r="S16" s="20"/>
      <c r="T16" s="21" t="e">
        <v>#N/A</v>
      </c>
    </row>
    <row r="17" spans="1:20" x14ac:dyDescent="0.25">
      <c r="A17" s="9">
        <v>16</v>
      </c>
      <c r="B17" s="10" t="s">
        <v>51</v>
      </c>
      <c r="C17" s="11" t="s">
        <v>52</v>
      </c>
      <c r="D17" s="12"/>
      <c r="E17" s="13" t="s">
        <v>21</v>
      </c>
      <c r="F17" s="11" t="s">
        <v>88</v>
      </c>
      <c r="G17" s="15" t="s">
        <v>89</v>
      </c>
      <c r="H17" s="13" t="s">
        <v>24</v>
      </c>
      <c r="I17" s="11" t="s">
        <v>90</v>
      </c>
      <c r="J17" s="11" t="s">
        <v>61</v>
      </c>
      <c r="K17" s="12" t="s">
        <v>56</v>
      </c>
      <c r="L17" s="13" t="s">
        <v>57</v>
      </c>
      <c r="M17" s="12"/>
      <c r="N17" s="18">
        <v>45566</v>
      </c>
      <c r="O17" s="19" t="e">
        <f>#REF!-N17</f>
        <v>#REF!</v>
      </c>
      <c r="P17" s="20" t="e">
        <f t="shared" si="0"/>
        <v>#REF!</v>
      </c>
      <c r="R17" s="20"/>
      <c r="S17" s="20"/>
      <c r="T17" s="21" t="e">
        <v>#N/A</v>
      </c>
    </row>
    <row r="18" spans="1:20" x14ac:dyDescent="0.25">
      <c r="A18" s="9">
        <v>17</v>
      </c>
      <c r="B18" s="10" t="s">
        <v>19</v>
      </c>
      <c r="C18" s="11" t="s">
        <v>20</v>
      </c>
      <c r="D18" s="12"/>
      <c r="E18" s="13" t="s">
        <v>21</v>
      </c>
      <c r="F18" s="14" t="s">
        <v>91</v>
      </c>
      <c r="G18" s="15" t="s">
        <v>92</v>
      </c>
      <c r="H18" s="13" t="s">
        <v>24</v>
      </c>
      <c r="I18" s="16" t="s">
        <v>25</v>
      </c>
      <c r="J18" s="11" t="s">
        <v>26</v>
      </c>
      <c r="K18" s="12" t="s">
        <v>27</v>
      </c>
      <c r="L18" s="12"/>
      <c r="M18" s="17" t="s">
        <v>28</v>
      </c>
      <c r="N18" s="18">
        <v>45854</v>
      </c>
      <c r="O18" s="19" t="e">
        <f>#REF!-N18</f>
        <v>#REF!</v>
      </c>
      <c r="P18" s="20" t="e">
        <f t="shared" si="0"/>
        <v>#REF!</v>
      </c>
      <c r="R18" s="20" t="s">
        <v>93</v>
      </c>
      <c r="S18" s="20" t="s">
        <v>93</v>
      </c>
      <c r="T18" s="21" t="s">
        <v>30</v>
      </c>
    </row>
    <row r="19" spans="1:20" x14ac:dyDescent="0.25">
      <c r="A19" s="9">
        <v>18</v>
      </c>
      <c r="B19" s="10" t="s">
        <v>40</v>
      </c>
      <c r="C19" s="11" t="s">
        <v>94</v>
      </c>
      <c r="D19" s="12"/>
      <c r="E19" s="33" t="s">
        <v>21</v>
      </c>
      <c r="F19" s="14" t="s">
        <v>95</v>
      </c>
      <c r="G19" s="15" t="s">
        <v>96</v>
      </c>
      <c r="H19" s="13" t="s">
        <v>24</v>
      </c>
      <c r="I19" s="11" t="s">
        <v>55</v>
      </c>
      <c r="J19" s="11" t="s">
        <v>26</v>
      </c>
      <c r="K19" s="12" t="s">
        <v>27</v>
      </c>
      <c r="L19" s="12"/>
      <c r="M19" s="17" t="s">
        <v>97</v>
      </c>
      <c r="N19" s="18">
        <v>45602</v>
      </c>
      <c r="O19" s="19" t="e">
        <f>#REF!-N19</f>
        <v>#REF!</v>
      </c>
      <c r="P19" s="20" t="e">
        <f t="shared" si="0"/>
        <v>#REF!</v>
      </c>
      <c r="R19" s="25"/>
      <c r="S19" s="25"/>
      <c r="T19" s="21" t="s">
        <v>30</v>
      </c>
    </row>
    <row r="20" spans="1:20" x14ac:dyDescent="0.25">
      <c r="A20" s="9">
        <v>19</v>
      </c>
      <c r="B20" s="10" t="s">
        <v>51</v>
      </c>
      <c r="C20" s="11" t="s">
        <v>52</v>
      </c>
      <c r="D20" s="12"/>
      <c r="E20" s="13" t="s">
        <v>21</v>
      </c>
      <c r="F20" s="11" t="s">
        <v>98</v>
      </c>
      <c r="G20" s="15" t="s">
        <v>99</v>
      </c>
      <c r="H20" s="13" t="s">
        <v>24</v>
      </c>
      <c r="I20" s="11" t="s">
        <v>100</v>
      </c>
      <c r="J20" s="11" t="s">
        <v>61</v>
      </c>
      <c r="K20" s="12" t="s">
        <v>101</v>
      </c>
      <c r="L20" s="13" t="s">
        <v>57</v>
      </c>
      <c r="M20" s="12"/>
      <c r="N20" s="18">
        <v>39636</v>
      </c>
      <c r="O20" s="19" t="e">
        <f>#REF!-N20</f>
        <v>#REF!</v>
      </c>
      <c r="P20" s="20" t="e">
        <f t="shared" si="0"/>
        <v>#REF!</v>
      </c>
      <c r="R20" s="20"/>
      <c r="S20" s="20"/>
      <c r="T20" s="21" t="e">
        <v>#N/A</v>
      </c>
    </row>
    <row r="21" spans="1:20" x14ac:dyDescent="0.25">
      <c r="A21" s="9">
        <v>20</v>
      </c>
      <c r="B21" s="10" t="s">
        <v>40</v>
      </c>
      <c r="C21" s="11" t="s">
        <v>41</v>
      </c>
      <c r="D21" s="12"/>
      <c r="E21" s="13" t="s">
        <v>21</v>
      </c>
      <c r="F21" s="14" t="s">
        <v>102</v>
      </c>
      <c r="G21" s="15" t="s">
        <v>103</v>
      </c>
      <c r="H21" s="13" t="s">
        <v>24</v>
      </c>
      <c r="I21" s="11" t="s">
        <v>55</v>
      </c>
      <c r="J21" s="11" t="s">
        <v>26</v>
      </c>
      <c r="K21" s="12" t="s">
        <v>27</v>
      </c>
      <c r="L21" s="12"/>
      <c r="M21" s="17" t="s">
        <v>71</v>
      </c>
      <c r="N21" s="18">
        <v>45139</v>
      </c>
      <c r="O21" s="19" t="e">
        <f>#REF!-N21</f>
        <v>#REF!</v>
      </c>
      <c r="P21" s="20" t="e">
        <f t="shared" si="0"/>
        <v>#REF!</v>
      </c>
      <c r="R21" s="25"/>
      <c r="S21" s="25"/>
      <c r="T21" s="21" t="s">
        <v>30</v>
      </c>
    </row>
    <row r="22" spans="1:20" x14ac:dyDescent="0.25">
      <c r="A22" s="9">
        <v>21</v>
      </c>
      <c r="B22" s="10" t="s">
        <v>51</v>
      </c>
      <c r="C22" s="11" t="s">
        <v>52</v>
      </c>
      <c r="D22" s="12"/>
      <c r="E22" s="13" t="s">
        <v>21</v>
      </c>
      <c r="F22" s="11" t="s">
        <v>104</v>
      </c>
      <c r="G22" s="15" t="s">
        <v>105</v>
      </c>
      <c r="H22" s="13" t="s">
        <v>24</v>
      </c>
      <c r="I22" s="11" t="s">
        <v>36</v>
      </c>
      <c r="J22" s="11" t="s">
        <v>61</v>
      </c>
      <c r="K22" s="12" t="s">
        <v>56</v>
      </c>
      <c r="L22" s="13" t="s">
        <v>106</v>
      </c>
      <c r="M22" s="12"/>
      <c r="N22" s="18">
        <v>41533</v>
      </c>
      <c r="O22" s="19" t="e">
        <f>#REF!-N22</f>
        <v>#REF!</v>
      </c>
      <c r="P22" s="20" t="e">
        <f t="shared" si="0"/>
        <v>#REF!</v>
      </c>
      <c r="R22" s="20"/>
      <c r="S22" s="20"/>
      <c r="T22" s="21" t="e">
        <v>#N/A</v>
      </c>
    </row>
    <row r="23" spans="1:20" x14ac:dyDescent="0.25">
      <c r="A23" s="9">
        <v>22</v>
      </c>
      <c r="B23" s="10" t="s">
        <v>40</v>
      </c>
      <c r="C23" s="11" t="s">
        <v>41</v>
      </c>
      <c r="D23" s="12"/>
      <c r="E23" s="13" t="s">
        <v>21</v>
      </c>
      <c r="F23" s="14" t="s">
        <v>107</v>
      </c>
      <c r="G23" s="15" t="s">
        <v>108</v>
      </c>
      <c r="H23" s="13" t="s">
        <v>24</v>
      </c>
      <c r="I23" s="11" t="s">
        <v>55</v>
      </c>
      <c r="J23" s="11" t="s">
        <v>26</v>
      </c>
      <c r="K23" s="12" t="s">
        <v>27</v>
      </c>
      <c r="L23" s="12"/>
      <c r="M23" s="17" t="s">
        <v>71</v>
      </c>
      <c r="N23" s="18">
        <v>45509</v>
      </c>
      <c r="O23" s="19" t="e">
        <f>#REF!-N23</f>
        <v>#REF!</v>
      </c>
      <c r="P23" s="20" t="e">
        <f t="shared" si="0"/>
        <v>#REF!</v>
      </c>
      <c r="R23" s="25"/>
      <c r="S23" s="25"/>
      <c r="T23" s="21" t="s">
        <v>30</v>
      </c>
    </row>
    <row r="24" spans="1:20" x14ac:dyDescent="0.25">
      <c r="A24" s="9">
        <v>23</v>
      </c>
      <c r="B24" s="10" t="s">
        <v>19</v>
      </c>
      <c r="C24" s="11" t="s">
        <v>109</v>
      </c>
      <c r="D24" s="11" t="s">
        <v>110</v>
      </c>
      <c r="E24" s="13" t="s">
        <v>21</v>
      </c>
      <c r="F24" s="14" t="s">
        <v>111</v>
      </c>
      <c r="G24" s="15" t="s">
        <v>112</v>
      </c>
      <c r="H24" s="13" t="s">
        <v>24</v>
      </c>
      <c r="I24" s="16" t="s">
        <v>25</v>
      </c>
      <c r="J24" s="11" t="s">
        <v>26</v>
      </c>
      <c r="K24" s="12" t="s">
        <v>27</v>
      </c>
      <c r="L24" s="12"/>
      <c r="M24" s="17" t="s">
        <v>113</v>
      </c>
      <c r="N24" s="18">
        <v>45383</v>
      </c>
      <c r="O24" s="19" t="e">
        <f>#REF!-N24</f>
        <v>#REF!</v>
      </c>
      <c r="P24" s="20" t="e">
        <f t="shared" si="0"/>
        <v>#REF!</v>
      </c>
      <c r="R24" s="20" t="s">
        <v>29</v>
      </c>
      <c r="S24" s="20" t="s">
        <v>29</v>
      </c>
      <c r="T24" s="21" t="s">
        <v>30</v>
      </c>
    </row>
    <row r="25" spans="1:20" x14ac:dyDescent="0.25">
      <c r="A25" s="9">
        <v>24</v>
      </c>
      <c r="B25" s="10" t="s">
        <v>19</v>
      </c>
      <c r="C25" s="11" t="s">
        <v>20</v>
      </c>
      <c r="D25" s="12"/>
      <c r="E25" s="13" t="s">
        <v>21</v>
      </c>
      <c r="F25" s="14" t="s">
        <v>114</v>
      </c>
      <c r="G25" s="15" t="s">
        <v>115</v>
      </c>
      <c r="H25" s="13" t="s">
        <v>24</v>
      </c>
      <c r="I25" s="16" t="s">
        <v>25</v>
      </c>
      <c r="J25" s="11" t="s">
        <v>26</v>
      </c>
      <c r="K25" s="12" t="s">
        <v>27</v>
      </c>
      <c r="L25" s="12"/>
      <c r="M25" s="17" t="s">
        <v>116</v>
      </c>
      <c r="N25" s="18">
        <v>45505</v>
      </c>
      <c r="O25" s="19" t="e">
        <f>#REF!-N25</f>
        <v>#REF!</v>
      </c>
      <c r="P25" s="20" t="e">
        <f t="shared" si="0"/>
        <v>#REF!</v>
      </c>
      <c r="R25" s="20" t="s">
        <v>29</v>
      </c>
      <c r="S25" s="20" t="s">
        <v>29</v>
      </c>
      <c r="T25" s="21" t="s">
        <v>30</v>
      </c>
    </row>
    <row r="26" spans="1:20" x14ac:dyDescent="0.25">
      <c r="A26" s="9">
        <v>25</v>
      </c>
      <c r="B26" s="10" t="s">
        <v>58</v>
      </c>
      <c r="C26" s="11" t="s">
        <v>117</v>
      </c>
      <c r="D26" s="12"/>
      <c r="E26" s="13" t="s">
        <v>21</v>
      </c>
      <c r="F26" s="22" t="s">
        <v>118</v>
      </c>
      <c r="G26" s="15" t="s">
        <v>119</v>
      </c>
      <c r="H26" s="13" t="s">
        <v>24</v>
      </c>
      <c r="I26" s="11" t="s">
        <v>36</v>
      </c>
      <c r="J26" s="11" t="s">
        <v>26</v>
      </c>
      <c r="K26" s="12" t="s">
        <v>120</v>
      </c>
      <c r="L26" s="12"/>
      <c r="M26" s="23"/>
      <c r="N26" s="18">
        <v>45689</v>
      </c>
      <c r="O26" s="19" t="e">
        <f>#REF!-N26</f>
        <v>#REF!</v>
      </c>
      <c r="P26" s="20" t="e">
        <f t="shared" si="0"/>
        <v>#REF!</v>
      </c>
      <c r="R26" s="20"/>
      <c r="S26" s="20"/>
      <c r="T26" s="21" t="e">
        <v>#N/A</v>
      </c>
    </row>
    <row r="27" spans="1:20" x14ac:dyDescent="0.25">
      <c r="A27" s="9">
        <v>26</v>
      </c>
      <c r="B27" s="10" t="s">
        <v>121</v>
      </c>
      <c r="C27" s="11" t="s">
        <v>122</v>
      </c>
      <c r="D27" s="12"/>
      <c r="E27" s="13" t="s">
        <v>21</v>
      </c>
      <c r="F27" s="22" t="s">
        <v>123</v>
      </c>
      <c r="G27" s="15" t="s">
        <v>124</v>
      </c>
      <c r="H27" s="13" t="s">
        <v>24</v>
      </c>
      <c r="I27" s="16" t="s">
        <v>36</v>
      </c>
      <c r="J27" s="11" t="s">
        <v>26</v>
      </c>
      <c r="K27" s="23" t="s">
        <v>27</v>
      </c>
      <c r="L27" s="12"/>
      <c r="M27" s="12" t="s">
        <v>125</v>
      </c>
      <c r="N27" s="18">
        <v>45839</v>
      </c>
      <c r="O27" s="19" t="e">
        <f>#REF!-N27</f>
        <v>#REF!</v>
      </c>
      <c r="P27" s="20" t="e">
        <f t="shared" si="0"/>
        <v>#REF!</v>
      </c>
      <c r="R27" s="20" t="s">
        <v>29</v>
      </c>
      <c r="S27" s="20" t="s">
        <v>29</v>
      </c>
      <c r="T27" s="21" t="s">
        <v>30</v>
      </c>
    </row>
    <row r="28" spans="1:20" x14ac:dyDescent="0.25">
      <c r="A28" s="9">
        <v>27</v>
      </c>
      <c r="B28" s="10" t="s">
        <v>40</v>
      </c>
      <c r="C28" s="11" t="s">
        <v>41</v>
      </c>
      <c r="D28" s="12"/>
      <c r="E28" s="13" t="s">
        <v>21</v>
      </c>
      <c r="F28" s="22" t="s">
        <v>126</v>
      </c>
      <c r="G28" s="15" t="s">
        <v>127</v>
      </c>
      <c r="H28" s="13" t="s">
        <v>24</v>
      </c>
      <c r="I28" s="11" t="s">
        <v>36</v>
      </c>
      <c r="J28" s="11" t="s">
        <v>26</v>
      </c>
      <c r="K28" s="12" t="s">
        <v>27</v>
      </c>
      <c r="L28" s="12"/>
      <c r="M28" s="23" t="s">
        <v>44</v>
      </c>
      <c r="N28" s="18">
        <v>42310</v>
      </c>
      <c r="O28" s="19" t="e">
        <f>#REF!-N28</f>
        <v>#REF!</v>
      </c>
      <c r="P28" s="20" t="e">
        <f t="shared" si="0"/>
        <v>#REF!</v>
      </c>
      <c r="R28" s="20" t="s">
        <v>29</v>
      </c>
      <c r="S28" s="20" t="s">
        <v>29</v>
      </c>
      <c r="T28" s="21" t="s">
        <v>30</v>
      </c>
    </row>
    <row r="29" spans="1:20" x14ac:dyDescent="0.25">
      <c r="A29" s="9">
        <v>28</v>
      </c>
      <c r="B29" s="10" t="s">
        <v>51</v>
      </c>
      <c r="C29" s="11" t="s">
        <v>128</v>
      </c>
      <c r="D29" s="12"/>
      <c r="E29" s="13" t="s">
        <v>21</v>
      </c>
      <c r="F29" s="22" t="s">
        <v>129</v>
      </c>
      <c r="G29" s="15" t="s">
        <v>130</v>
      </c>
      <c r="H29" s="13" t="s">
        <v>24</v>
      </c>
      <c r="I29" s="11" t="s">
        <v>131</v>
      </c>
      <c r="J29" s="11" t="s">
        <v>61</v>
      </c>
      <c r="K29" s="12" t="s">
        <v>132</v>
      </c>
      <c r="L29" s="12"/>
      <c r="M29" s="23" t="s">
        <v>133</v>
      </c>
      <c r="N29" s="18">
        <v>42137</v>
      </c>
      <c r="O29" s="19" t="e">
        <f>#REF!-N29</f>
        <v>#REF!</v>
      </c>
      <c r="P29" s="20" t="e">
        <f t="shared" si="0"/>
        <v>#REF!</v>
      </c>
      <c r="R29" s="25"/>
      <c r="S29" s="25"/>
      <c r="T29" s="21" t="s">
        <v>30</v>
      </c>
    </row>
    <row r="30" spans="1:20" x14ac:dyDescent="0.25">
      <c r="A30" s="9">
        <v>29</v>
      </c>
      <c r="B30" s="10" t="s">
        <v>19</v>
      </c>
      <c r="C30" s="11" t="s">
        <v>20</v>
      </c>
      <c r="D30" s="32"/>
      <c r="E30" s="13" t="s">
        <v>21</v>
      </c>
      <c r="F30" s="14" t="s">
        <v>134</v>
      </c>
      <c r="G30" s="15">
        <v>76773442</v>
      </c>
      <c r="H30" s="13" t="s">
        <v>24</v>
      </c>
      <c r="I30" s="11" t="s">
        <v>25</v>
      </c>
      <c r="J30" s="11" t="s">
        <v>26</v>
      </c>
      <c r="K30" s="12" t="s">
        <v>27</v>
      </c>
      <c r="L30" s="12"/>
      <c r="M30" s="17" t="s">
        <v>116</v>
      </c>
      <c r="N30" s="34">
        <v>45901</v>
      </c>
      <c r="O30" s="19" t="e">
        <f>#REF!-N30</f>
        <v>#REF!</v>
      </c>
      <c r="P30" s="20" t="e">
        <f t="shared" si="0"/>
        <v>#REF!</v>
      </c>
      <c r="R30" s="35" t="s">
        <v>93</v>
      </c>
      <c r="S30" s="36"/>
      <c r="T30" s="21" t="s">
        <v>30</v>
      </c>
    </row>
    <row r="31" spans="1:20" x14ac:dyDescent="0.25">
      <c r="A31" s="9">
        <v>30</v>
      </c>
      <c r="B31" s="10" t="s">
        <v>58</v>
      </c>
      <c r="C31" s="11" t="s">
        <v>135</v>
      </c>
      <c r="D31" s="12"/>
      <c r="E31" s="13" t="s">
        <v>21</v>
      </c>
      <c r="F31" s="22" t="s">
        <v>136</v>
      </c>
      <c r="G31" s="15" t="s">
        <v>137</v>
      </c>
      <c r="H31" s="13" t="s">
        <v>24</v>
      </c>
      <c r="I31" s="11" t="s">
        <v>36</v>
      </c>
      <c r="J31" s="11" t="s">
        <v>26</v>
      </c>
      <c r="K31" s="12" t="s">
        <v>138</v>
      </c>
      <c r="L31" s="12"/>
      <c r="M31" s="23"/>
      <c r="N31" s="18">
        <v>45870</v>
      </c>
      <c r="O31" s="19" t="e">
        <f>#REF!-N31</f>
        <v>#REF!</v>
      </c>
      <c r="P31" s="20" t="e">
        <f t="shared" si="0"/>
        <v>#REF!</v>
      </c>
      <c r="R31" s="20"/>
      <c r="S31" s="20"/>
      <c r="T31" s="21" t="e">
        <v>#N/A</v>
      </c>
    </row>
    <row r="32" spans="1:20" x14ac:dyDescent="0.25">
      <c r="A32" s="9">
        <v>31</v>
      </c>
      <c r="B32" s="10" t="s">
        <v>58</v>
      </c>
      <c r="C32" s="11" t="s">
        <v>52</v>
      </c>
      <c r="D32" s="12"/>
      <c r="E32" s="13" t="s">
        <v>21</v>
      </c>
      <c r="F32" s="22" t="s">
        <v>139</v>
      </c>
      <c r="G32" s="15" t="s">
        <v>140</v>
      </c>
      <c r="H32" s="13" t="s">
        <v>24</v>
      </c>
      <c r="I32" s="11" t="s">
        <v>55</v>
      </c>
      <c r="J32" s="11" t="s">
        <v>26</v>
      </c>
      <c r="K32" s="12" t="s">
        <v>101</v>
      </c>
      <c r="L32" s="12"/>
      <c r="M32" s="23"/>
      <c r="N32" s="18">
        <v>45444</v>
      </c>
      <c r="O32" s="19" t="e">
        <f>#REF!-N32</f>
        <v>#REF!</v>
      </c>
      <c r="P32" s="20" t="e">
        <f t="shared" si="0"/>
        <v>#REF!</v>
      </c>
      <c r="R32" s="20"/>
      <c r="S32" s="20"/>
      <c r="T32" s="21" t="e">
        <v>#N/A</v>
      </c>
    </row>
    <row r="33" spans="1:20" x14ac:dyDescent="0.25">
      <c r="A33" s="9">
        <v>32</v>
      </c>
      <c r="B33" s="10" t="s">
        <v>121</v>
      </c>
      <c r="C33" s="11" t="s">
        <v>141</v>
      </c>
      <c r="D33" s="12"/>
      <c r="E33" s="13" t="s">
        <v>21</v>
      </c>
      <c r="F33" s="22" t="s">
        <v>142</v>
      </c>
      <c r="G33" s="15" t="s">
        <v>143</v>
      </c>
      <c r="H33" s="13" t="s">
        <v>24</v>
      </c>
      <c r="I33" s="11" t="s">
        <v>55</v>
      </c>
      <c r="J33" s="11" t="s">
        <v>61</v>
      </c>
      <c r="K33" s="12" t="s">
        <v>132</v>
      </c>
      <c r="L33" s="12"/>
      <c r="M33" s="23" t="s">
        <v>125</v>
      </c>
      <c r="N33" s="18">
        <v>45047</v>
      </c>
      <c r="O33" s="19" t="e">
        <f>#REF!-N33</f>
        <v>#REF!</v>
      </c>
      <c r="P33" s="20" t="e">
        <f t="shared" si="0"/>
        <v>#REF!</v>
      </c>
      <c r="R33" s="20" t="s">
        <v>29</v>
      </c>
      <c r="S33" s="20" t="s">
        <v>29</v>
      </c>
      <c r="T33" s="21" t="s">
        <v>30</v>
      </c>
    </row>
    <row r="34" spans="1:20" x14ac:dyDescent="0.25">
      <c r="A34" s="9">
        <v>33</v>
      </c>
      <c r="B34" s="10" t="s">
        <v>121</v>
      </c>
      <c r="C34" s="11" t="s">
        <v>141</v>
      </c>
      <c r="D34" s="12"/>
      <c r="E34" s="13" t="s">
        <v>21</v>
      </c>
      <c r="F34" s="22" t="s">
        <v>144</v>
      </c>
      <c r="G34" s="15" t="s">
        <v>145</v>
      </c>
      <c r="H34" s="13" t="s">
        <v>24</v>
      </c>
      <c r="I34" s="11" t="s">
        <v>55</v>
      </c>
      <c r="J34" s="11" t="s">
        <v>61</v>
      </c>
      <c r="K34" s="12" t="s">
        <v>132</v>
      </c>
      <c r="L34" s="12"/>
      <c r="M34" s="23" t="s">
        <v>125</v>
      </c>
      <c r="N34" s="18">
        <v>45460</v>
      </c>
      <c r="O34" s="19" t="e">
        <f>#REF!-N34</f>
        <v>#REF!</v>
      </c>
      <c r="P34" s="20" t="e">
        <f t="shared" si="0"/>
        <v>#REF!</v>
      </c>
      <c r="R34" s="20" t="s">
        <v>29</v>
      </c>
      <c r="S34" s="25"/>
      <c r="T34" s="21" t="s">
        <v>30</v>
      </c>
    </row>
    <row r="35" spans="1:20" x14ac:dyDescent="0.25">
      <c r="A35" s="9">
        <v>34</v>
      </c>
      <c r="B35" s="10" t="s">
        <v>19</v>
      </c>
      <c r="C35" s="11" t="s">
        <v>109</v>
      </c>
      <c r="D35" s="12" t="s">
        <v>146</v>
      </c>
      <c r="E35" s="13" t="s">
        <v>21</v>
      </c>
      <c r="F35" s="14" t="s">
        <v>147</v>
      </c>
      <c r="G35" s="15" t="s">
        <v>148</v>
      </c>
      <c r="H35" s="13" t="s">
        <v>24</v>
      </c>
      <c r="I35" s="16" t="s">
        <v>25</v>
      </c>
      <c r="J35" s="11" t="s">
        <v>26</v>
      </c>
      <c r="K35" s="12" t="s">
        <v>27</v>
      </c>
      <c r="L35" s="12"/>
      <c r="M35" s="17" t="s">
        <v>113</v>
      </c>
      <c r="N35" s="18">
        <v>45474</v>
      </c>
      <c r="O35" s="19" t="e">
        <f>#REF!-N35</f>
        <v>#REF!</v>
      </c>
      <c r="P35" s="20" t="e">
        <f t="shared" si="0"/>
        <v>#REF!</v>
      </c>
      <c r="R35" s="20" t="s">
        <v>29</v>
      </c>
      <c r="S35" s="20" t="s">
        <v>29</v>
      </c>
      <c r="T35" s="21" t="s">
        <v>30</v>
      </c>
    </row>
    <row r="36" spans="1:20" x14ac:dyDescent="0.25">
      <c r="A36" s="9">
        <v>35</v>
      </c>
      <c r="B36" s="10" t="s">
        <v>19</v>
      </c>
      <c r="C36" s="11" t="s">
        <v>41</v>
      </c>
      <c r="D36" s="12"/>
      <c r="E36" s="13" t="s">
        <v>21</v>
      </c>
      <c r="F36" s="14" t="s">
        <v>149</v>
      </c>
      <c r="G36" s="15" t="s">
        <v>150</v>
      </c>
      <c r="H36" s="13" t="s">
        <v>151</v>
      </c>
      <c r="I36" s="16" t="s">
        <v>25</v>
      </c>
      <c r="J36" s="11" t="s">
        <v>26</v>
      </c>
      <c r="K36" s="12" t="s">
        <v>27</v>
      </c>
      <c r="L36" s="12"/>
      <c r="M36" s="17" t="s">
        <v>71</v>
      </c>
      <c r="N36" s="18">
        <v>45352</v>
      </c>
      <c r="O36" s="19" t="e">
        <f>#REF!-N36</f>
        <v>#REF!</v>
      </c>
      <c r="P36" s="20" t="e">
        <f t="shared" si="0"/>
        <v>#REF!</v>
      </c>
      <c r="R36" s="25"/>
      <c r="S36" s="20" t="s">
        <v>93</v>
      </c>
      <c r="T36" s="21" t="s">
        <v>30</v>
      </c>
    </row>
    <row r="37" spans="1:20" x14ac:dyDescent="0.25">
      <c r="A37" s="9">
        <v>36</v>
      </c>
      <c r="B37" s="10" t="s">
        <v>40</v>
      </c>
      <c r="C37" s="11" t="s">
        <v>41</v>
      </c>
      <c r="D37" s="12"/>
      <c r="E37" s="13" t="s">
        <v>21</v>
      </c>
      <c r="F37" s="14" t="s">
        <v>152</v>
      </c>
      <c r="G37" s="15" t="s">
        <v>153</v>
      </c>
      <c r="H37" s="13" t="s">
        <v>24</v>
      </c>
      <c r="I37" s="11" t="s">
        <v>36</v>
      </c>
      <c r="J37" s="11" t="s">
        <v>26</v>
      </c>
      <c r="K37" s="12" t="s">
        <v>27</v>
      </c>
      <c r="L37" s="12"/>
      <c r="M37" s="17" t="s">
        <v>71</v>
      </c>
      <c r="N37" s="18">
        <v>45754</v>
      </c>
      <c r="O37" s="19" t="e">
        <f>#REF!-N37</f>
        <v>#REF!</v>
      </c>
      <c r="P37" s="20" t="e">
        <f t="shared" si="0"/>
        <v>#REF!</v>
      </c>
      <c r="R37" s="25"/>
      <c r="S37" s="25"/>
      <c r="T37" s="21" t="s">
        <v>30</v>
      </c>
    </row>
    <row r="38" spans="1:20" x14ac:dyDescent="0.25">
      <c r="A38" s="9">
        <v>37</v>
      </c>
      <c r="B38" s="10" t="s">
        <v>154</v>
      </c>
      <c r="C38" s="11" t="s">
        <v>52</v>
      </c>
      <c r="D38" s="37" t="s">
        <v>155</v>
      </c>
      <c r="E38" s="13" t="s">
        <v>21</v>
      </c>
      <c r="F38" s="11" t="s">
        <v>156</v>
      </c>
      <c r="G38" s="15" t="s">
        <v>157</v>
      </c>
      <c r="H38" s="13" t="s">
        <v>24</v>
      </c>
      <c r="I38" s="11" t="s">
        <v>55</v>
      </c>
      <c r="J38" s="11" t="s">
        <v>26</v>
      </c>
      <c r="K38" s="12" t="s">
        <v>56</v>
      </c>
      <c r="L38" s="12"/>
      <c r="M38" s="12"/>
      <c r="N38" s="18">
        <v>45692</v>
      </c>
      <c r="O38" s="19" t="e">
        <f>#REF!-N38</f>
        <v>#REF!</v>
      </c>
      <c r="P38" s="20" t="e">
        <f t="shared" si="0"/>
        <v>#REF!</v>
      </c>
      <c r="R38" s="20"/>
      <c r="S38" s="20"/>
      <c r="T38" s="21" t="e">
        <v>#N/A</v>
      </c>
    </row>
    <row r="39" spans="1:20" x14ac:dyDescent="0.25">
      <c r="A39" s="9">
        <v>38</v>
      </c>
      <c r="B39" s="10" t="s">
        <v>40</v>
      </c>
      <c r="C39" s="11" t="s">
        <v>41</v>
      </c>
      <c r="D39" s="12"/>
      <c r="E39" s="13" t="s">
        <v>21</v>
      </c>
      <c r="F39" s="14" t="s">
        <v>158</v>
      </c>
      <c r="G39" s="15" t="s">
        <v>159</v>
      </c>
      <c r="H39" s="13" t="s">
        <v>24</v>
      </c>
      <c r="I39" s="16" t="s">
        <v>25</v>
      </c>
      <c r="J39" s="11" t="s">
        <v>26</v>
      </c>
      <c r="K39" s="12" t="s">
        <v>27</v>
      </c>
      <c r="L39" s="12"/>
      <c r="M39" s="17" t="s">
        <v>71</v>
      </c>
      <c r="N39" s="18">
        <v>45782</v>
      </c>
      <c r="O39" s="19" t="e">
        <f>#REF!-N39</f>
        <v>#REF!</v>
      </c>
      <c r="P39" s="20" t="e">
        <f t="shared" si="0"/>
        <v>#REF!</v>
      </c>
      <c r="R39" s="20" t="s">
        <v>29</v>
      </c>
      <c r="S39" s="20" t="s">
        <v>93</v>
      </c>
      <c r="T39" s="21" t="s">
        <v>30</v>
      </c>
    </row>
    <row r="40" spans="1:20" x14ac:dyDescent="0.25">
      <c r="A40" s="9">
        <v>39</v>
      </c>
      <c r="B40" s="10" t="s">
        <v>31</v>
      </c>
      <c r="C40" s="11" t="s">
        <v>41</v>
      </c>
      <c r="D40" s="12"/>
      <c r="E40" s="13" t="s">
        <v>21</v>
      </c>
      <c r="F40" s="22" t="s">
        <v>160</v>
      </c>
      <c r="G40" s="15" t="s">
        <v>161</v>
      </c>
      <c r="H40" s="13" t="s">
        <v>24</v>
      </c>
      <c r="I40" s="11" t="s">
        <v>36</v>
      </c>
      <c r="J40" s="11" t="s">
        <v>26</v>
      </c>
      <c r="K40" s="12" t="s">
        <v>27</v>
      </c>
      <c r="L40" s="12"/>
      <c r="M40" s="23" t="s">
        <v>162</v>
      </c>
      <c r="N40" s="18">
        <v>45218</v>
      </c>
      <c r="O40" s="19" t="e">
        <f>#REF!-N40</f>
        <v>#REF!</v>
      </c>
      <c r="P40" s="20" t="e">
        <f t="shared" si="0"/>
        <v>#REF!</v>
      </c>
      <c r="R40" s="25"/>
      <c r="S40" s="25"/>
      <c r="T40" s="21" t="s">
        <v>30</v>
      </c>
    </row>
    <row r="41" spans="1:20" x14ac:dyDescent="0.25">
      <c r="A41" s="9">
        <v>40</v>
      </c>
      <c r="B41" s="10" t="s">
        <v>19</v>
      </c>
      <c r="C41" s="38" t="s">
        <v>20</v>
      </c>
      <c r="D41" s="12"/>
      <c r="E41" s="13" t="s">
        <v>21</v>
      </c>
      <c r="F41" s="14" t="s">
        <v>163</v>
      </c>
      <c r="G41" s="15" t="s">
        <v>164</v>
      </c>
      <c r="H41" s="13" t="s">
        <v>24</v>
      </c>
      <c r="I41" s="16" t="s">
        <v>25</v>
      </c>
      <c r="J41" s="11" t="s">
        <v>26</v>
      </c>
      <c r="K41" s="12" t="s">
        <v>27</v>
      </c>
      <c r="L41" s="12"/>
      <c r="M41" s="17" t="s">
        <v>116</v>
      </c>
      <c r="N41" s="18">
        <v>45232</v>
      </c>
      <c r="O41" s="19" t="e">
        <f>#REF!-N41</f>
        <v>#REF!</v>
      </c>
      <c r="P41" s="20" t="e">
        <f t="shared" si="0"/>
        <v>#REF!</v>
      </c>
      <c r="R41" s="20" t="s">
        <v>93</v>
      </c>
      <c r="S41" s="20" t="s">
        <v>93</v>
      </c>
      <c r="T41" s="21" t="s">
        <v>30</v>
      </c>
    </row>
    <row r="42" spans="1:20" x14ac:dyDescent="0.25">
      <c r="A42" s="9">
        <v>41</v>
      </c>
      <c r="B42" s="10" t="s">
        <v>165</v>
      </c>
      <c r="C42" s="39" t="s">
        <v>166</v>
      </c>
      <c r="D42" s="12"/>
      <c r="E42" s="13" t="s">
        <v>21</v>
      </c>
      <c r="F42" s="11" t="s">
        <v>167</v>
      </c>
      <c r="G42" s="15" t="s">
        <v>168</v>
      </c>
      <c r="H42" s="13" t="s">
        <v>24</v>
      </c>
      <c r="I42" s="11" t="s">
        <v>36</v>
      </c>
      <c r="J42" s="11" t="s">
        <v>26</v>
      </c>
      <c r="K42" s="12" t="s">
        <v>27</v>
      </c>
      <c r="L42" s="12"/>
      <c r="M42" s="12" t="s">
        <v>162</v>
      </c>
      <c r="N42" s="18">
        <v>45768</v>
      </c>
      <c r="O42" s="19" t="e">
        <f>#REF!-N42</f>
        <v>#REF!</v>
      </c>
      <c r="P42" s="20" t="e">
        <f t="shared" si="0"/>
        <v>#REF!</v>
      </c>
      <c r="R42" s="20" t="s">
        <v>29</v>
      </c>
      <c r="S42" s="20" t="s">
        <v>29</v>
      </c>
      <c r="T42" s="21" t="s">
        <v>30</v>
      </c>
    </row>
    <row r="43" spans="1:20" x14ac:dyDescent="0.25">
      <c r="A43" s="9">
        <v>42</v>
      </c>
      <c r="B43" s="10" t="s">
        <v>31</v>
      </c>
      <c r="C43" s="11" t="s">
        <v>41</v>
      </c>
      <c r="D43" s="12"/>
      <c r="E43" s="13" t="s">
        <v>21</v>
      </c>
      <c r="F43" s="22" t="s">
        <v>169</v>
      </c>
      <c r="G43" s="15" t="s">
        <v>170</v>
      </c>
      <c r="H43" s="13" t="s">
        <v>24</v>
      </c>
      <c r="I43" s="11" t="s">
        <v>36</v>
      </c>
      <c r="J43" s="11" t="s">
        <v>26</v>
      </c>
      <c r="K43" s="12" t="s">
        <v>27</v>
      </c>
      <c r="L43" s="12"/>
      <c r="M43" s="23" t="s">
        <v>162</v>
      </c>
      <c r="N43" s="18">
        <v>44075</v>
      </c>
      <c r="O43" s="19" t="e">
        <f>#REF!-N43</f>
        <v>#REF!</v>
      </c>
      <c r="P43" s="20" t="e">
        <f t="shared" si="0"/>
        <v>#REF!</v>
      </c>
      <c r="R43" s="20" t="s">
        <v>29</v>
      </c>
      <c r="S43" s="20" t="s">
        <v>29</v>
      </c>
      <c r="T43" s="21" t="s">
        <v>30</v>
      </c>
    </row>
    <row r="44" spans="1:20" x14ac:dyDescent="0.25">
      <c r="A44" s="9">
        <v>43</v>
      </c>
      <c r="B44" s="10" t="s">
        <v>51</v>
      </c>
      <c r="C44" s="11" t="s">
        <v>52</v>
      </c>
      <c r="D44" s="12"/>
      <c r="E44" s="13" t="s">
        <v>21</v>
      </c>
      <c r="F44" s="11" t="s">
        <v>171</v>
      </c>
      <c r="G44" s="15" t="s">
        <v>172</v>
      </c>
      <c r="H44" s="13" t="s">
        <v>24</v>
      </c>
      <c r="I44" s="11" t="s">
        <v>173</v>
      </c>
      <c r="J44" s="11" t="s">
        <v>61</v>
      </c>
      <c r="K44" s="12" t="s">
        <v>56</v>
      </c>
      <c r="L44" s="13" t="s">
        <v>106</v>
      </c>
      <c r="M44" s="12"/>
      <c r="N44" s="18">
        <v>44198</v>
      </c>
      <c r="O44" s="19" t="e">
        <f>#REF!-N44</f>
        <v>#REF!</v>
      </c>
      <c r="P44" s="20" t="e">
        <f t="shared" si="0"/>
        <v>#REF!</v>
      </c>
      <c r="R44" s="20"/>
      <c r="S44" s="20"/>
      <c r="T44" s="21" t="e">
        <v>#N/A</v>
      </c>
    </row>
    <row r="45" spans="1:20" x14ac:dyDescent="0.25">
      <c r="A45" s="9">
        <v>44</v>
      </c>
      <c r="B45" s="10" t="s">
        <v>45</v>
      </c>
      <c r="C45" s="11" t="s">
        <v>174</v>
      </c>
      <c r="D45" s="12"/>
      <c r="E45" s="13" t="s">
        <v>21</v>
      </c>
      <c r="F45" s="22" t="s">
        <v>175</v>
      </c>
      <c r="G45" s="15" t="s">
        <v>176</v>
      </c>
      <c r="H45" s="13" t="s">
        <v>24</v>
      </c>
      <c r="I45" s="11" t="s">
        <v>36</v>
      </c>
      <c r="J45" s="11" t="s">
        <v>26</v>
      </c>
      <c r="K45" s="12" t="s">
        <v>27</v>
      </c>
      <c r="L45" s="12"/>
      <c r="M45" s="23" t="s">
        <v>37</v>
      </c>
      <c r="N45" s="18">
        <v>44326</v>
      </c>
      <c r="O45" s="19" t="e">
        <f>#REF!-N45</f>
        <v>#REF!</v>
      </c>
      <c r="P45" s="20" t="e">
        <f t="shared" si="0"/>
        <v>#REF!</v>
      </c>
      <c r="R45" s="20" t="s">
        <v>93</v>
      </c>
      <c r="S45" s="20" t="s">
        <v>93</v>
      </c>
      <c r="T45" s="21" t="s">
        <v>30</v>
      </c>
    </row>
    <row r="46" spans="1:20" x14ac:dyDescent="0.25">
      <c r="A46" s="9">
        <v>45</v>
      </c>
      <c r="B46" s="10" t="s">
        <v>58</v>
      </c>
      <c r="C46" s="11"/>
      <c r="D46" s="12"/>
      <c r="E46" s="13" t="s">
        <v>21</v>
      </c>
      <c r="F46" s="26" t="s">
        <v>177</v>
      </c>
      <c r="G46" s="15" t="s">
        <v>178</v>
      </c>
      <c r="H46" s="31" t="s">
        <v>24</v>
      </c>
      <c r="I46" s="11" t="s">
        <v>55</v>
      </c>
      <c r="J46" s="16" t="s">
        <v>26</v>
      </c>
      <c r="K46" s="12" t="s">
        <v>179</v>
      </c>
      <c r="L46" s="12"/>
      <c r="M46" s="23"/>
      <c r="N46" s="18">
        <v>45341</v>
      </c>
      <c r="O46" s="19" t="e">
        <f>#REF!-N46</f>
        <v>#REF!</v>
      </c>
      <c r="P46" s="20" t="e">
        <f t="shared" si="0"/>
        <v>#REF!</v>
      </c>
      <c r="R46" s="20"/>
      <c r="S46" s="20"/>
      <c r="T46" s="21" t="e">
        <v>#N/A</v>
      </c>
    </row>
    <row r="47" spans="1:20" x14ac:dyDescent="0.25">
      <c r="A47" s="9">
        <v>46</v>
      </c>
      <c r="B47" s="10" t="s">
        <v>65</v>
      </c>
      <c r="C47" s="11" t="s">
        <v>121</v>
      </c>
      <c r="D47" s="12"/>
      <c r="E47" s="13" t="s">
        <v>21</v>
      </c>
      <c r="F47" s="11" t="s">
        <v>180</v>
      </c>
      <c r="G47" s="15" t="s">
        <v>181</v>
      </c>
      <c r="H47" s="13" t="s">
        <v>24</v>
      </c>
      <c r="I47" s="16" t="s">
        <v>36</v>
      </c>
      <c r="J47" s="11" t="s">
        <v>26</v>
      </c>
      <c r="K47" s="12" t="s">
        <v>182</v>
      </c>
      <c r="L47" s="12"/>
      <c r="M47" s="12"/>
      <c r="N47" s="18">
        <v>45444</v>
      </c>
      <c r="O47" s="19" t="e">
        <f>#REF!-N47</f>
        <v>#REF!</v>
      </c>
      <c r="P47" s="20" t="e">
        <f t="shared" si="0"/>
        <v>#REF!</v>
      </c>
      <c r="R47" s="20"/>
      <c r="S47" s="20"/>
      <c r="T47" s="21" t="e">
        <v>#N/A</v>
      </c>
    </row>
    <row r="48" spans="1:20" x14ac:dyDescent="0.25">
      <c r="A48" s="9">
        <v>47</v>
      </c>
      <c r="B48" s="10" t="s">
        <v>19</v>
      </c>
      <c r="C48" s="11" t="s">
        <v>20</v>
      </c>
      <c r="D48" s="12"/>
      <c r="E48" s="13" t="s">
        <v>21</v>
      </c>
      <c r="F48" s="14" t="s">
        <v>183</v>
      </c>
      <c r="G48" s="15" t="s">
        <v>184</v>
      </c>
      <c r="H48" s="13" t="s">
        <v>24</v>
      </c>
      <c r="I48" s="16" t="s">
        <v>25</v>
      </c>
      <c r="J48" s="11" t="s">
        <v>26</v>
      </c>
      <c r="K48" s="12" t="s">
        <v>27</v>
      </c>
      <c r="L48" s="12"/>
      <c r="M48" s="17" t="s">
        <v>116</v>
      </c>
      <c r="N48" s="18">
        <v>45434</v>
      </c>
      <c r="O48" s="19" t="e">
        <f>#REF!-N48</f>
        <v>#REF!</v>
      </c>
      <c r="P48" s="20" t="e">
        <f t="shared" si="0"/>
        <v>#REF!</v>
      </c>
      <c r="R48" s="20" t="s">
        <v>93</v>
      </c>
      <c r="S48" s="20" t="s">
        <v>93</v>
      </c>
      <c r="T48" s="21" t="s">
        <v>30</v>
      </c>
    </row>
    <row r="49" spans="1:20" x14ac:dyDescent="0.25">
      <c r="A49" s="9">
        <v>48</v>
      </c>
      <c r="B49" s="10" t="s">
        <v>19</v>
      </c>
      <c r="C49" s="11" t="s">
        <v>109</v>
      </c>
      <c r="D49" s="12" t="s">
        <v>146</v>
      </c>
      <c r="E49" s="13" t="s">
        <v>21</v>
      </c>
      <c r="F49" s="22" t="s">
        <v>185</v>
      </c>
      <c r="G49" s="15" t="s">
        <v>186</v>
      </c>
      <c r="H49" s="13" t="s">
        <v>24</v>
      </c>
      <c r="I49" s="16" t="s">
        <v>55</v>
      </c>
      <c r="J49" s="11" t="s">
        <v>26</v>
      </c>
      <c r="K49" s="12" t="s">
        <v>27</v>
      </c>
      <c r="L49" s="12"/>
      <c r="M49" s="23" t="s">
        <v>113</v>
      </c>
      <c r="N49" s="18">
        <v>45796</v>
      </c>
      <c r="O49" s="19" t="e">
        <f>#REF!-N49</f>
        <v>#REF!</v>
      </c>
      <c r="P49" s="20" t="e">
        <f t="shared" si="0"/>
        <v>#REF!</v>
      </c>
      <c r="R49" s="25"/>
      <c r="S49" s="25"/>
      <c r="T49" s="21" t="s">
        <v>30</v>
      </c>
    </row>
    <row r="50" spans="1:20" x14ac:dyDescent="0.25">
      <c r="A50" s="9">
        <v>49</v>
      </c>
      <c r="B50" s="10" t="s">
        <v>31</v>
      </c>
      <c r="C50" s="11" t="s">
        <v>32</v>
      </c>
      <c r="D50" s="12"/>
      <c r="E50" s="13" t="s">
        <v>21</v>
      </c>
      <c r="F50" s="22" t="s">
        <v>187</v>
      </c>
      <c r="G50" s="15" t="s">
        <v>188</v>
      </c>
      <c r="H50" s="13" t="s">
        <v>24</v>
      </c>
      <c r="I50" s="11" t="s">
        <v>36</v>
      </c>
      <c r="J50" s="11" t="s">
        <v>26</v>
      </c>
      <c r="K50" s="12" t="s">
        <v>27</v>
      </c>
      <c r="L50" s="12"/>
      <c r="M50" s="23" t="s">
        <v>37</v>
      </c>
      <c r="N50" s="18">
        <v>45768</v>
      </c>
      <c r="O50" s="19" t="e">
        <f>#REF!-N50</f>
        <v>#REF!</v>
      </c>
      <c r="P50" s="20" t="e">
        <f t="shared" si="0"/>
        <v>#REF!</v>
      </c>
      <c r="R50" s="20" t="s">
        <v>93</v>
      </c>
      <c r="S50" s="20" t="s">
        <v>93</v>
      </c>
      <c r="T50" s="21" t="s">
        <v>30</v>
      </c>
    </row>
    <row r="51" spans="1:20" x14ac:dyDescent="0.25">
      <c r="A51" s="9">
        <v>50</v>
      </c>
      <c r="B51" s="10" t="s">
        <v>40</v>
      </c>
      <c r="C51" s="11" t="s">
        <v>41</v>
      </c>
      <c r="D51" s="12"/>
      <c r="E51" s="13" t="s">
        <v>21</v>
      </c>
      <c r="F51" s="22" t="s">
        <v>189</v>
      </c>
      <c r="G51" s="15" t="s">
        <v>190</v>
      </c>
      <c r="H51" s="13" t="s">
        <v>24</v>
      </c>
      <c r="I51" s="11" t="s">
        <v>36</v>
      </c>
      <c r="J51" s="11" t="s">
        <v>26</v>
      </c>
      <c r="K51" s="12" t="s">
        <v>27</v>
      </c>
      <c r="L51" s="12"/>
      <c r="M51" s="23" t="s">
        <v>44</v>
      </c>
      <c r="N51" s="18">
        <v>45261</v>
      </c>
      <c r="O51" s="19" t="e">
        <f>#REF!-N51</f>
        <v>#REF!</v>
      </c>
      <c r="P51" s="20" t="e">
        <f t="shared" si="0"/>
        <v>#REF!</v>
      </c>
      <c r="R51" s="20" t="s">
        <v>29</v>
      </c>
      <c r="S51" s="20" t="s">
        <v>29</v>
      </c>
      <c r="T51" s="21" t="s">
        <v>30</v>
      </c>
    </row>
    <row r="52" spans="1:20" x14ac:dyDescent="0.25">
      <c r="A52" s="9">
        <v>51</v>
      </c>
      <c r="B52" s="10" t="s">
        <v>19</v>
      </c>
      <c r="C52" s="11" t="s">
        <v>20</v>
      </c>
      <c r="D52" s="12"/>
      <c r="E52" s="13" t="s">
        <v>21</v>
      </c>
      <c r="F52" s="14" t="s">
        <v>191</v>
      </c>
      <c r="G52" s="15" t="s">
        <v>192</v>
      </c>
      <c r="H52" s="13" t="s">
        <v>24</v>
      </c>
      <c r="I52" s="16" t="s">
        <v>25</v>
      </c>
      <c r="J52" s="11" t="s">
        <v>26</v>
      </c>
      <c r="K52" s="12" t="s">
        <v>27</v>
      </c>
      <c r="L52" s="12"/>
      <c r="M52" s="17" t="s">
        <v>116</v>
      </c>
      <c r="N52" s="18">
        <v>45817</v>
      </c>
      <c r="O52" s="19" t="e">
        <f>#REF!-N52</f>
        <v>#REF!</v>
      </c>
      <c r="P52" s="20" t="e">
        <f t="shared" ref="P52:P105" si="1">IF(O52&lt;=180,"NUEVO",IF(O52&lt;=360,"NOVEL",IF(O52&lt;=720,"SENIOR JUNIOR",IF(O52&lt;=1800,"SENIOR","MASTER"))))</f>
        <v>#REF!</v>
      </c>
      <c r="R52" s="20" t="s">
        <v>93</v>
      </c>
      <c r="S52" s="20" t="s">
        <v>93</v>
      </c>
      <c r="T52" s="21" t="s">
        <v>30</v>
      </c>
    </row>
    <row r="53" spans="1:20" x14ac:dyDescent="0.25">
      <c r="A53" s="9">
        <v>52</v>
      </c>
      <c r="B53" s="10" t="s">
        <v>31</v>
      </c>
      <c r="C53" s="11" t="s">
        <v>193</v>
      </c>
      <c r="D53" s="12"/>
      <c r="E53" s="13" t="s">
        <v>21</v>
      </c>
      <c r="F53" s="22" t="s">
        <v>194</v>
      </c>
      <c r="G53" s="15" t="s">
        <v>195</v>
      </c>
      <c r="H53" s="13" t="s">
        <v>35</v>
      </c>
      <c r="I53" s="11" t="s">
        <v>36</v>
      </c>
      <c r="J53" s="11" t="s">
        <v>26</v>
      </c>
      <c r="K53" s="12" t="s">
        <v>27</v>
      </c>
      <c r="L53" s="12"/>
      <c r="M53" s="23" t="s">
        <v>162</v>
      </c>
      <c r="N53" s="18">
        <v>44743</v>
      </c>
      <c r="O53" s="19" t="e">
        <f>#REF!-N53</f>
        <v>#REF!</v>
      </c>
      <c r="P53" s="20" t="e">
        <f t="shared" si="1"/>
        <v>#REF!</v>
      </c>
      <c r="R53" s="20" t="s">
        <v>93</v>
      </c>
      <c r="S53" s="20" t="s">
        <v>93</v>
      </c>
      <c r="T53" s="21" t="s">
        <v>30</v>
      </c>
    </row>
    <row r="54" spans="1:20" x14ac:dyDescent="0.25">
      <c r="A54" s="9">
        <v>53</v>
      </c>
      <c r="B54" s="10" t="s">
        <v>121</v>
      </c>
      <c r="C54" s="11" t="s">
        <v>122</v>
      </c>
      <c r="D54" s="12"/>
      <c r="E54" s="13" t="s">
        <v>21</v>
      </c>
      <c r="F54" s="22" t="s">
        <v>196</v>
      </c>
      <c r="G54" s="15" t="s">
        <v>197</v>
      </c>
      <c r="H54" s="13" t="s">
        <v>24</v>
      </c>
      <c r="I54" s="11" t="s">
        <v>36</v>
      </c>
      <c r="J54" s="11" t="s">
        <v>26</v>
      </c>
      <c r="K54" s="23" t="s">
        <v>27</v>
      </c>
      <c r="L54" s="12"/>
      <c r="M54" s="12" t="s">
        <v>125</v>
      </c>
      <c r="N54" s="18">
        <v>45782</v>
      </c>
      <c r="O54" s="19" t="e">
        <f>#REF!-N54</f>
        <v>#REF!</v>
      </c>
      <c r="P54" s="20" t="e">
        <f t="shared" si="1"/>
        <v>#REF!</v>
      </c>
      <c r="R54" s="25"/>
      <c r="S54" s="25"/>
      <c r="T54" s="21" t="s">
        <v>30</v>
      </c>
    </row>
    <row r="55" spans="1:20" x14ac:dyDescent="0.25">
      <c r="A55" s="9">
        <v>54</v>
      </c>
      <c r="B55" s="10" t="s">
        <v>51</v>
      </c>
      <c r="C55" s="11" t="s">
        <v>52</v>
      </c>
      <c r="D55" s="12"/>
      <c r="E55" s="13" t="s">
        <v>21</v>
      </c>
      <c r="F55" s="11" t="s">
        <v>198</v>
      </c>
      <c r="G55" s="15" t="s">
        <v>199</v>
      </c>
      <c r="H55" s="13" t="s">
        <v>24</v>
      </c>
      <c r="I55" s="11" t="s">
        <v>200</v>
      </c>
      <c r="J55" s="11" t="s">
        <v>61</v>
      </c>
      <c r="K55" s="12" t="s">
        <v>56</v>
      </c>
      <c r="L55" s="13" t="s">
        <v>106</v>
      </c>
      <c r="M55" s="12"/>
      <c r="N55" s="18">
        <v>45139</v>
      </c>
      <c r="O55" s="19" t="e">
        <f>#REF!-N55</f>
        <v>#REF!</v>
      </c>
      <c r="P55" s="20" t="e">
        <f t="shared" si="1"/>
        <v>#REF!</v>
      </c>
      <c r="R55" s="20"/>
      <c r="S55" s="20"/>
      <c r="T55" s="21" t="e">
        <v>#N/A</v>
      </c>
    </row>
    <row r="56" spans="1:20" x14ac:dyDescent="0.25">
      <c r="A56" s="9">
        <v>55</v>
      </c>
      <c r="B56" s="10" t="s">
        <v>19</v>
      </c>
      <c r="C56" s="11" t="s">
        <v>20</v>
      </c>
      <c r="D56" s="12"/>
      <c r="E56" s="13" t="s">
        <v>21</v>
      </c>
      <c r="F56" s="14" t="s">
        <v>201</v>
      </c>
      <c r="G56" s="15" t="s">
        <v>202</v>
      </c>
      <c r="H56" s="13" t="s">
        <v>24</v>
      </c>
      <c r="I56" s="16" t="s">
        <v>25</v>
      </c>
      <c r="J56" s="11" t="s">
        <v>26</v>
      </c>
      <c r="K56" s="12" t="s">
        <v>27</v>
      </c>
      <c r="L56" s="12"/>
      <c r="M56" s="17" t="s">
        <v>28</v>
      </c>
      <c r="N56" s="18">
        <v>45108</v>
      </c>
      <c r="O56" s="19" t="e">
        <f>#REF!-N56</f>
        <v>#REF!</v>
      </c>
      <c r="P56" s="20" t="e">
        <f t="shared" si="1"/>
        <v>#REF!</v>
      </c>
      <c r="R56" s="20" t="s">
        <v>29</v>
      </c>
      <c r="S56" s="20" t="s">
        <v>29</v>
      </c>
      <c r="T56" s="21" t="s">
        <v>30</v>
      </c>
    </row>
    <row r="57" spans="1:20" x14ac:dyDescent="0.25">
      <c r="A57" s="9">
        <v>56</v>
      </c>
      <c r="B57" s="10" t="s">
        <v>51</v>
      </c>
      <c r="C57" s="11" t="s">
        <v>52</v>
      </c>
      <c r="D57" s="12"/>
      <c r="E57" s="13" t="s">
        <v>21</v>
      </c>
      <c r="F57" s="11" t="s">
        <v>203</v>
      </c>
      <c r="G57" s="15" t="s">
        <v>204</v>
      </c>
      <c r="H57" s="13" t="s">
        <v>24</v>
      </c>
      <c r="I57" s="11" t="s">
        <v>205</v>
      </c>
      <c r="J57" s="11" t="s">
        <v>61</v>
      </c>
      <c r="K57" s="12" t="s">
        <v>56</v>
      </c>
      <c r="L57" s="13" t="s">
        <v>106</v>
      </c>
      <c r="M57" s="12"/>
      <c r="N57" s="18">
        <v>45575</v>
      </c>
      <c r="O57" s="19" t="e">
        <f>#REF!-N57</f>
        <v>#REF!</v>
      </c>
      <c r="P57" s="20" t="e">
        <f t="shared" si="1"/>
        <v>#REF!</v>
      </c>
      <c r="R57" s="20"/>
      <c r="S57" s="20"/>
      <c r="T57" s="21" t="e">
        <v>#N/A</v>
      </c>
    </row>
    <row r="58" spans="1:20" x14ac:dyDescent="0.25">
      <c r="A58" s="9">
        <v>57</v>
      </c>
      <c r="B58" s="10" t="s">
        <v>51</v>
      </c>
      <c r="C58" s="11" t="s">
        <v>52</v>
      </c>
      <c r="D58" s="12"/>
      <c r="E58" s="13" t="s">
        <v>21</v>
      </c>
      <c r="F58" s="11" t="s">
        <v>206</v>
      </c>
      <c r="G58" s="15" t="s">
        <v>207</v>
      </c>
      <c r="H58" s="13" t="s">
        <v>24</v>
      </c>
      <c r="I58" s="11" t="s">
        <v>131</v>
      </c>
      <c r="J58" s="11" t="s">
        <v>61</v>
      </c>
      <c r="K58" s="12" t="s">
        <v>56</v>
      </c>
      <c r="L58" s="13" t="s">
        <v>106</v>
      </c>
      <c r="M58" s="12"/>
      <c r="N58" s="18">
        <v>45568</v>
      </c>
      <c r="O58" s="19" t="e">
        <f>#REF!-N58</f>
        <v>#REF!</v>
      </c>
      <c r="P58" s="20" t="e">
        <f t="shared" si="1"/>
        <v>#REF!</v>
      </c>
      <c r="R58" s="20"/>
      <c r="S58" s="20"/>
      <c r="T58" s="21" t="e">
        <v>#N/A</v>
      </c>
    </row>
    <row r="59" spans="1:20" x14ac:dyDescent="0.25">
      <c r="A59" s="9">
        <v>58</v>
      </c>
      <c r="B59" s="10" t="s">
        <v>121</v>
      </c>
      <c r="C59" s="11" t="s">
        <v>141</v>
      </c>
      <c r="D59" s="12"/>
      <c r="E59" s="13" t="s">
        <v>21</v>
      </c>
      <c r="F59" s="22" t="s">
        <v>208</v>
      </c>
      <c r="G59" s="15" t="s">
        <v>209</v>
      </c>
      <c r="H59" s="13" t="s">
        <v>24</v>
      </c>
      <c r="I59" s="11" t="s">
        <v>36</v>
      </c>
      <c r="J59" s="11" t="s">
        <v>26</v>
      </c>
      <c r="K59" s="12" t="s">
        <v>27</v>
      </c>
      <c r="L59" s="12"/>
      <c r="M59" s="23" t="s">
        <v>125</v>
      </c>
      <c r="N59" s="18">
        <v>45231</v>
      </c>
      <c r="O59" s="19" t="e">
        <f>#REF!-N59</f>
        <v>#REF!</v>
      </c>
      <c r="P59" s="20" t="e">
        <f t="shared" si="1"/>
        <v>#REF!</v>
      </c>
      <c r="R59" s="20" t="s">
        <v>29</v>
      </c>
      <c r="S59" s="20" t="s">
        <v>29</v>
      </c>
      <c r="T59" s="21" t="s">
        <v>30</v>
      </c>
    </row>
    <row r="60" spans="1:20" x14ac:dyDescent="0.25">
      <c r="A60" s="9">
        <v>59</v>
      </c>
      <c r="B60" s="10" t="s">
        <v>51</v>
      </c>
      <c r="C60" s="11" t="s">
        <v>52</v>
      </c>
      <c r="D60" s="12"/>
      <c r="E60" s="13" t="s">
        <v>21</v>
      </c>
      <c r="F60" s="11" t="s">
        <v>210</v>
      </c>
      <c r="G60" s="15" t="s">
        <v>211</v>
      </c>
      <c r="H60" s="13" t="s">
        <v>24</v>
      </c>
      <c r="I60" s="11" t="s">
        <v>131</v>
      </c>
      <c r="J60" s="11" t="s">
        <v>61</v>
      </c>
      <c r="K60" s="12" t="s">
        <v>56</v>
      </c>
      <c r="L60" s="13" t="s">
        <v>106</v>
      </c>
      <c r="M60" s="12"/>
      <c r="N60" s="18">
        <v>43692</v>
      </c>
      <c r="O60" s="19" t="e">
        <f>#REF!-N60</f>
        <v>#REF!</v>
      </c>
      <c r="P60" s="20" t="e">
        <f t="shared" si="1"/>
        <v>#REF!</v>
      </c>
      <c r="R60" s="20"/>
      <c r="S60" s="20"/>
      <c r="T60" s="21" t="e">
        <v>#N/A</v>
      </c>
    </row>
    <row r="61" spans="1:20" x14ac:dyDescent="0.25">
      <c r="A61" s="9">
        <v>60</v>
      </c>
      <c r="B61" s="10" t="s">
        <v>212</v>
      </c>
      <c r="C61" s="11"/>
      <c r="D61" s="12"/>
      <c r="E61" s="13" t="s">
        <v>21</v>
      </c>
      <c r="F61" s="22" t="s">
        <v>213</v>
      </c>
      <c r="G61" s="15" t="s">
        <v>214</v>
      </c>
      <c r="H61" s="13" t="s">
        <v>24</v>
      </c>
      <c r="I61" s="11" t="s">
        <v>36</v>
      </c>
      <c r="J61" s="11" t="s">
        <v>26</v>
      </c>
      <c r="K61" s="12" t="s">
        <v>27</v>
      </c>
      <c r="L61" s="12"/>
      <c r="M61" s="23" t="s">
        <v>215</v>
      </c>
      <c r="N61" s="18">
        <v>43293</v>
      </c>
      <c r="O61" s="19" t="e">
        <f>#REF!-N61</f>
        <v>#REF!</v>
      </c>
      <c r="P61" s="20" t="e">
        <f t="shared" si="1"/>
        <v>#REF!</v>
      </c>
      <c r="R61" s="20" t="s">
        <v>29</v>
      </c>
      <c r="S61" s="20" t="s">
        <v>29</v>
      </c>
      <c r="T61" s="21" t="s">
        <v>30</v>
      </c>
    </row>
    <row r="62" spans="1:20" x14ac:dyDescent="0.25">
      <c r="A62" s="9">
        <v>61</v>
      </c>
      <c r="B62" s="10" t="s">
        <v>31</v>
      </c>
      <c r="C62" s="11" t="s">
        <v>193</v>
      </c>
      <c r="D62" s="12"/>
      <c r="E62" s="13" t="s">
        <v>21</v>
      </c>
      <c r="F62" s="22" t="s">
        <v>216</v>
      </c>
      <c r="G62" s="15" t="s">
        <v>217</v>
      </c>
      <c r="H62" s="13" t="s">
        <v>24</v>
      </c>
      <c r="I62" s="11" t="s">
        <v>36</v>
      </c>
      <c r="J62" s="11" t="s">
        <v>26</v>
      </c>
      <c r="K62" s="12" t="s">
        <v>27</v>
      </c>
      <c r="L62" s="12"/>
      <c r="M62" s="23" t="s">
        <v>162</v>
      </c>
      <c r="N62" s="18">
        <v>45231</v>
      </c>
      <c r="O62" s="19" t="e">
        <f>#REF!-N62</f>
        <v>#REF!</v>
      </c>
      <c r="P62" s="20" t="e">
        <f t="shared" si="1"/>
        <v>#REF!</v>
      </c>
      <c r="R62" s="20" t="s">
        <v>29</v>
      </c>
      <c r="S62" s="20" t="s">
        <v>29</v>
      </c>
      <c r="T62" s="21" t="s">
        <v>30</v>
      </c>
    </row>
    <row r="63" spans="1:20" x14ac:dyDescent="0.25">
      <c r="A63" s="9">
        <v>62</v>
      </c>
      <c r="B63" s="10" t="s">
        <v>58</v>
      </c>
      <c r="C63" s="11"/>
      <c r="D63" s="12"/>
      <c r="E63" s="13" t="s">
        <v>21</v>
      </c>
      <c r="F63" s="26" t="s">
        <v>218</v>
      </c>
      <c r="G63" s="15" t="s">
        <v>219</v>
      </c>
      <c r="H63" s="31" t="s">
        <v>24</v>
      </c>
      <c r="I63" s="16" t="s">
        <v>220</v>
      </c>
      <c r="J63" s="16" t="s">
        <v>61</v>
      </c>
      <c r="K63" s="12" t="s">
        <v>221</v>
      </c>
      <c r="L63" s="12"/>
      <c r="M63" s="23"/>
      <c r="N63" s="18">
        <v>45689</v>
      </c>
      <c r="O63" s="19" t="e">
        <f>#REF!-N63</f>
        <v>#REF!</v>
      </c>
      <c r="P63" s="20" t="e">
        <f t="shared" si="1"/>
        <v>#REF!</v>
      </c>
      <c r="R63" s="20"/>
      <c r="S63" s="20"/>
      <c r="T63" s="21" t="e">
        <v>#N/A</v>
      </c>
    </row>
    <row r="64" spans="1:20" x14ac:dyDescent="0.25">
      <c r="A64" s="9">
        <v>63</v>
      </c>
      <c r="B64" s="10" t="s">
        <v>19</v>
      </c>
      <c r="C64" s="11" t="s">
        <v>20</v>
      </c>
      <c r="D64" s="12"/>
      <c r="E64" s="13" t="s">
        <v>21</v>
      </c>
      <c r="F64" s="14" t="s">
        <v>222</v>
      </c>
      <c r="G64" s="15" t="s">
        <v>223</v>
      </c>
      <c r="H64" s="13" t="s">
        <v>24</v>
      </c>
      <c r="I64" s="16" t="s">
        <v>25</v>
      </c>
      <c r="J64" s="11" t="s">
        <v>26</v>
      </c>
      <c r="K64" s="12" t="s">
        <v>27</v>
      </c>
      <c r="L64" s="12"/>
      <c r="M64" s="17" t="s">
        <v>28</v>
      </c>
      <c r="N64" s="18">
        <v>45768</v>
      </c>
      <c r="O64" s="19" t="e">
        <f>#REF!-N64</f>
        <v>#REF!</v>
      </c>
      <c r="P64" s="20" t="e">
        <f t="shared" si="1"/>
        <v>#REF!</v>
      </c>
      <c r="R64" s="20" t="s">
        <v>93</v>
      </c>
      <c r="S64" s="20" t="s">
        <v>93</v>
      </c>
      <c r="T64" s="21" t="s">
        <v>30</v>
      </c>
    </row>
    <row r="65" spans="1:20" x14ac:dyDescent="0.25">
      <c r="A65" s="9">
        <v>64</v>
      </c>
      <c r="B65" s="10" t="s">
        <v>58</v>
      </c>
      <c r="C65" s="11" t="s">
        <v>224</v>
      </c>
      <c r="D65" s="12"/>
      <c r="E65" s="13" t="s">
        <v>21</v>
      </c>
      <c r="F65" s="26" t="s">
        <v>225</v>
      </c>
      <c r="G65" s="15" t="s">
        <v>226</v>
      </c>
      <c r="H65" s="31" t="s">
        <v>24</v>
      </c>
      <c r="I65" s="16" t="s">
        <v>36</v>
      </c>
      <c r="J65" s="16" t="s">
        <v>26</v>
      </c>
      <c r="K65" s="12" t="s">
        <v>227</v>
      </c>
      <c r="L65" s="12"/>
      <c r="M65" s="23"/>
      <c r="N65" s="18">
        <v>45489</v>
      </c>
      <c r="O65" s="19" t="e">
        <f>#REF!-N65</f>
        <v>#REF!</v>
      </c>
      <c r="P65" s="20" t="e">
        <f t="shared" si="1"/>
        <v>#REF!</v>
      </c>
      <c r="R65" s="20"/>
      <c r="S65" s="20"/>
      <c r="T65" s="21" t="e">
        <v>#N/A</v>
      </c>
    </row>
    <row r="66" spans="1:20" x14ac:dyDescent="0.25">
      <c r="A66" s="9">
        <v>65</v>
      </c>
      <c r="B66" s="10" t="s">
        <v>58</v>
      </c>
      <c r="C66" s="11" t="s">
        <v>72</v>
      </c>
      <c r="D66" s="12"/>
      <c r="E66" s="13" t="s">
        <v>21</v>
      </c>
      <c r="F66" s="22" t="s">
        <v>228</v>
      </c>
      <c r="G66" s="15" t="s">
        <v>229</v>
      </c>
      <c r="H66" s="13" t="s">
        <v>24</v>
      </c>
      <c r="I66" s="16" t="s">
        <v>25</v>
      </c>
      <c r="J66" s="11" t="s">
        <v>26</v>
      </c>
      <c r="K66" s="12" t="s">
        <v>230</v>
      </c>
      <c r="L66" s="12"/>
      <c r="M66" s="23"/>
      <c r="N66" s="18">
        <v>44774</v>
      </c>
      <c r="O66" s="19" t="e">
        <f>#REF!-N66</f>
        <v>#REF!</v>
      </c>
      <c r="P66" s="20" t="e">
        <f t="shared" si="1"/>
        <v>#REF!</v>
      </c>
      <c r="R66" s="20"/>
      <c r="S66" s="20"/>
      <c r="T66" s="21" t="e">
        <v>#N/A</v>
      </c>
    </row>
    <row r="67" spans="1:20" x14ac:dyDescent="0.25">
      <c r="A67" s="9">
        <v>66</v>
      </c>
      <c r="B67" s="10" t="s">
        <v>51</v>
      </c>
      <c r="C67" s="11" t="s">
        <v>52</v>
      </c>
      <c r="D67" s="12"/>
      <c r="E67" s="13" t="s">
        <v>21</v>
      </c>
      <c r="F67" s="11" t="s">
        <v>231</v>
      </c>
      <c r="G67" s="15" t="s">
        <v>232</v>
      </c>
      <c r="H67" s="13" t="s">
        <v>24</v>
      </c>
      <c r="I67" s="11" t="s">
        <v>233</v>
      </c>
      <c r="J67" s="11" t="s">
        <v>61</v>
      </c>
      <c r="K67" s="12" t="s">
        <v>101</v>
      </c>
      <c r="L67" s="13" t="s">
        <v>57</v>
      </c>
      <c r="M67" s="12"/>
      <c r="N67" s="18">
        <v>45474</v>
      </c>
      <c r="O67" s="19" t="e">
        <f>#REF!-N67</f>
        <v>#REF!</v>
      </c>
      <c r="P67" s="20" t="e">
        <f t="shared" si="1"/>
        <v>#REF!</v>
      </c>
      <c r="R67" s="20"/>
      <c r="S67" s="20"/>
      <c r="T67" s="21" t="e">
        <v>#N/A</v>
      </c>
    </row>
    <row r="68" spans="1:20" x14ac:dyDescent="0.25">
      <c r="A68" s="9">
        <v>67</v>
      </c>
      <c r="B68" s="10" t="s">
        <v>40</v>
      </c>
      <c r="C68" s="11" t="s">
        <v>41</v>
      </c>
      <c r="D68" s="12"/>
      <c r="E68" s="13" t="s">
        <v>21</v>
      </c>
      <c r="F68" s="22" t="s">
        <v>234</v>
      </c>
      <c r="G68" s="15" t="s">
        <v>235</v>
      </c>
      <c r="H68" s="13" t="s">
        <v>24</v>
      </c>
      <c r="I68" s="11" t="s">
        <v>36</v>
      </c>
      <c r="J68" s="11" t="s">
        <v>26</v>
      </c>
      <c r="K68" s="12" t="s">
        <v>27</v>
      </c>
      <c r="L68" s="12"/>
      <c r="M68" s="23" t="s">
        <v>44</v>
      </c>
      <c r="N68" s="18">
        <v>45398</v>
      </c>
      <c r="O68" s="19" t="e">
        <f>#REF!-N68</f>
        <v>#REF!</v>
      </c>
      <c r="P68" s="20" t="e">
        <f t="shared" si="1"/>
        <v>#REF!</v>
      </c>
      <c r="R68" s="20" t="s">
        <v>29</v>
      </c>
      <c r="S68" s="20" t="s">
        <v>29</v>
      </c>
      <c r="T68" s="21" t="s">
        <v>30</v>
      </c>
    </row>
    <row r="69" spans="1:20" x14ac:dyDescent="0.25">
      <c r="A69" s="9">
        <v>68</v>
      </c>
      <c r="B69" s="10" t="s">
        <v>58</v>
      </c>
      <c r="C69" s="11" t="s">
        <v>236</v>
      </c>
      <c r="D69" s="12"/>
      <c r="E69" s="13" t="s">
        <v>21</v>
      </c>
      <c r="F69" s="22" t="s">
        <v>237</v>
      </c>
      <c r="G69" s="15" t="s">
        <v>238</v>
      </c>
      <c r="H69" s="13" t="s">
        <v>35</v>
      </c>
      <c r="I69" s="11" t="s">
        <v>55</v>
      </c>
      <c r="J69" s="11" t="s">
        <v>26</v>
      </c>
      <c r="K69" s="12" t="s">
        <v>239</v>
      </c>
      <c r="L69" s="12"/>
      <c r="M69" s="23"/>
      <c r="N69" s="18">
        <v>45852</v>
      </c>
      <c r="O69" s="19" t="e">
        <f>#REF!-N69</f>
        <v>#REF!</v>
      </c>
      <c r="P69" s="20" t="e">
        <f t="shared" si="1"/>
        <v>#REF!</v>
      </c>
      <c r="R69" s="20"/>
      <c r="S69" s="20"/>
      <c r="T69" s="21" t="e">
        <v>#N/A</v>
      </c>
    </row>
    <row r="70" spans="1:20" x14ac:dyDescent="0.25">
      <c r="A70" s="9">
        <v>69</v>
      </c>
      <c r="B70" s="10" t="s">
        <v>240</v>
      </c>
      <c r="C70" s="11" t="s">
        <v>241</v>
      </c>
      <c r="D70" s="12"/>
      <c r="E70" s="13" t="s">
        <v>21</v>
      </c>
      <c r="F70" s="14" t="s">
        <v>242</v>
      </c>
      <c r="G70" s="15" t="s">
        <v>243</v>
      </c>
      <c r="H70" s="13" t="s">
        <v>24</v>
      </c>
      <c r="I70" s="11" t="s">
        <v>36</v>
      </c>
      <c r="J70" s="11" t="s">
        <v>26</v>
      </c>
      <c r="K70" s="12" t="s">
        <v>27</v>
      </c>
      <c r="L70" s="12"/>
      <c r="M70" s="17" t="s">
        <v>244</v>
      </c>
      <c r="N70" s="18">
        <v>45275</v>
      </c>
      <c r="O70" s="19" t="e">
        <f>#REF!-N70</f>
        <v>#REF!</v>
      </c>
      <c r="P70" s="20" t="e">
        <f t="shared" si="1"/>
        <v>#REF!</v>
      </c>
      <c r="R70" s="25"/>
      <c r="S70" s="25"/>
      <c r="T70" s="21" t="s">
        <v>30</v>
      </c>
    </row>
    <row r="71" spans="1:20" x14ac:dyDescent="0.25">
      <c r="A71" s="9">
        <v>70</v>
      </c>
      <c r="B71" s="10" t="s">
        <v>31</v>
      </c>
      <c r="C71" s="11" t="s">
        <v>193</v>
      </c>
      <c r="D71" s="12"/>
      <c r="E71" s="13" t="s">
        <v>21</v>
      </c>
      <c r="F71" s="22" t="s">
        <v>245</v>
      </c>
      <c r="G71" s="15" t="s">
        <v>246</v>
      </c>
      <c r="H71" s="13" t="s">
        <v>24</v>
      </c>
      <c r="I71" s="11" t="s">
        <v>36</v>
      </c>
      <c r="J71" s="11" t="s">
        <v>26</v>
      </c>
      <c r="K71" s="12" t="s">
        <v>27</v>
      </c>
      <c r="L71" s="12"/>
      <c r="M71" s="23" t="s">
        <v>162</v>
      </c>
      <c r="N71" s="18">
        <v>45537</v>
      </c>
      <c r="O71" s="19" t="e">
        <f>#REF!-N71</f>
        <v>#REF!</v>
      </c>
      <c r="P71" s="20" t="e">
        <f t="shared" si="1"/>
        <v>#REF!</v>
      </c>
      <c r="R71" s="20" t="s">
        <v>29</v>
      </c>
      <c r="S71" s="20" t="s">
        <v>29</v>
      </c>
      <c r="T71" s="21" t="s">
        <v>30</v>
      </c>
    </row>
    <row r="72" spans="1:20" x14ac:dyDescent="0.25">
      <c r="A72" s="9">
        <v>71</v>
      </c>
      <c r="B72" s="10" t="s">
        <v>58</v>
      </c>
      <c r="C72" s="11" t="s">
        <v>72</v>
      </c>
      <c r="D72" s="12"/>
      <c r="E72" s="13" t="s">
        <v>21</v>
      </c>
      <c r="F72" s="26" t="s">
        <v>247</v>
      </c>
      <c r="G72" s="15" t="s">
        <v>248</v>
      </c>
      <c r="H72" s="31" t="s">
        <v>24</v>
      </c>
      <c r="I72" s="16" t="s">
        <v>36</v>
      </c>
      <c r="J72" s="16" t="s">
        <v>26</v>
      </c>
      <c r="K72" s="12" t="s">
        <v>249</v>
      </c>
      <c r="L72" s="12"/>
      <c r="M72" s="23"/>
      <c r="N72" s="18">
        <v>45444</v>
      </c>
      <c r="O72" s="19" t="e">
        <f>#REF!-N72</f>
        <v>#REF!</v>
      </c>
      <c r="P72" s="20" t="e">
        <f t="shared" si="1"/>
        <v>#REF!</v>
      </c>
      <c r="R72" s="20"/>
      <c r="S72" s="20"/>
      <c r="T72" s="21" t="e">
        <v>#N/A</v>
      </c>
    </row>
    <row r="73" spans="1:20" x14ac:dyDescent="0.25">
      <c r="A73" s="9">
        <v>72</v>
      </c>
      <c r="B73" s="10" t="s">
        <v>65</v>
      </c>
      <c r="C73" s="11" t="s">
        <v>250</v>
      </c>
      <c r="D73" s="12"/>
      <c r="E73" s="13" t="s">
        <v>21</v>
      </c>
      <c r="F73" s="11" t="s">
        <v>251</v>
      </c>
      <c r="G73" s="15" t="s">
        <v>252</v>
      </c>
      <c r="H73" s="13" t="s">
        <v>24</v>
      </c>
      <c r="I73" s="11" t="s">
        <v>36</v>
      </c>
      <c r="J73" s="11" t="s">
        <v>26</v>
      </c>
      <c r="K73" s="12" t="s">
        <v>253</v>
      </c>
      <c r="L73" s="12"/>
      <c r="M73" s="12"/>
      <c r="N73" s="18">
        <v>43983</v>
      </c>
      <c r="O73" s="19" t="e">
        <f>#REF!-N73</f>
        <v>#REF!</v>
      </c>
      <c r="P73" s="20" t="e">
        <f t="shared" si="1"/>
        <v>#REF!</v>
      </c>
      <c r="R73" s="20"/>
      <c r="S73" s="20"/>
      <c r="T73" s="21" t="e">
        <v>#N/A</v>
      </c>
    </row>
    <row r="74" spans="1:20" x14ac:dyDescent="0.25">
      <c r="A74" s="9">
        <v>73</v>
      </c>
      <c r="B74" s="10" t="s">
        <v>31</v>
      </c>
      <c r="C74" s="11" t="s">
        <v>32</v>
      </c>
      <c r="D74" s="12"/>
      <c r="E74" s="13" t="s">
        <v>21</v>
      </c>
      <c r="F74" s="22" t="s">
        <v>254</v>
      </c>
      <c r="G74" s="15" t="s">
        <v>255</v>
      </c>
      <c r="H74" s="13" t="s">
        <v>35</v>
      </c>
      <c r="I74" s="16" t="s">
        <v>36</v>
      </c>
      <c r="J74" s="11" t="s">
        <v>26</v>
      </c>
      <c r="K74" s="12" t="s">
        <v>27</v>
      </c>
      <c r="L74" s="12"/>
      <c r="M74" s="23" t="s">
        <v>37</v>
      </c>
      <c r="N74" s="18">
        <v>45444</v>
      </c>
      <c r="O74" s="19" t="e">
        <f>#REF!-N74</f>
        <v>#REF!</v>
      </c>
      <c r="P74" s="20" t="e">
        <f t="shared" si="1"/>
        <v>#REF!</v>
      </c>
      <c r="R74" s="20" t="s">
        <v>29</v>
      </c>
      <c r="S74" s="20" t="s">
        <v>29</v>
      </c>
      <c r="T74" s="21" t="s">
        <v>30</v>
      </c>
    </row>
    <row r="75" spans="1:20" x14ac:dyDescent="0.25">
      <c r="A75" s="9">
        <v>74</v>
      </c>
      <c r="B75" s="10" t="s">
        <v>19</v>
      </c>
      <c r="C75" s="11" t="s">
        <v>20</v>
      </c>
      <c r="D75" s="12"/>
      <c r="E75" s="13" t="s">
        <v>21</v>
      </c>
      <c r="F75" s="14" t="s">
        <v>256</v>
      </c>
      <c r="G75" s="15" t="s">
        <v>257</v>
      </c>
      <c r="H75" s="13" t="s">
        <v>24</v>
      </c>
      <c r="I75" s="16" t="s">
        <v>25</v>
      </c>
      <c r="J75" s="11" t="s">
        <v>26</v>
      </c>
      <c r="K75" s="12" t="s">
        <v>27</v>
      </c>
      <c r="L75" s="12"/>
      <c r="M75" s="17" t="s">
        <v>28</v>
      </c>
      <c r="N75" s="18">
        <v>45852</v>
      </c>
      <c r="O75" s="19" t="e">
        <f>#REF!-N75</f>
        <v>#REF!</v>
      </c>
      <c r="P75" s="20" t="e">
        <f t="shared" si="1"/>
        <v>#REF!</v>
      </c>
      <c r="R75" s="20" t="s">
        <v>93</v>
      </c>
      <c r="S75" s="20" t="s">
        <v>93</v>
      </c>
      <c r="T75" s="21" t="s">
        <v>30</v>
      </c>
    </row>
    <row r="76" spans="1:20" x14ac:dyDescent="0.25">
      <c r="A76" s="9">
        <v>75</v>
      </c>
      <c r="B76" s="10" t="s">
        <v>40</v>
      </c>
      <c r="C76" s="11" t="s">
        <v>41</v>
      </c>
      <c r="D76" s="12"/>
      <c r="E76" s="13" t="s">
        <v>21</v>
      </c>
      <c r="F76" s="14" t="s">
        <v>258</v>
      </c>
      <c r="G76" s="15" t="s">
        <v>259</v>
      </c>
      <c r="H76" s="13" t="s">
        <v>24</v>
      </c>
      <c r="I76" s="11" t="s">
        <v>55</v>
      </c>
      <c r="J76" s="11" t="s">
        <v>26</v>
      </c>
      <c r="K76" s="12" t="s">
        <v>27</v>
      </c>
      <c r="L76" s="12"/>
      <c r="M76" s="17" t="s">
        <v>71</v>
      </c>
      <c r="N76" s="18">
        <v>45475</v>
      </c>
      <c r="O76" s="19" t="e">
        <f>#REF!-N76</f>
        <v>#REF!</v>
      </c>
      <c r="P76" s="20" t="e">
        <f t="shared" si="1"/>
        <v>#REF!</v>
      </c>
      <c r="R76" s="25"/>
      <c r="S76" s="25"/>
      <c r="T76" s="21" t="s">
        <v>30</v>
      </c>
    </row>
    <row r="77" spans="1:20" x14ac:dyDescent="0.25">
      <c r="A77" s="9">
        <v>76</v>
      </c>
      <c r="B77" s="10" t="s">
        <v>19</v>
      </c>
      <c r="C77" s="11" t="s">
        <v>20</v>
      </c>
      <c r="D77" s="12"/>
      <c r="E77" s="13" t="s">
        <v>21</v>
      </c>
      <c r="F77" s="14" t="s">
        <v>260</v>
      </c>
      <c r="G77" s="15" t="s">
        <v>261</v>
      </c>
      <c r="H77" s="13" t="s">
        <v>24</v>
      </c>
      <c r="I77" s="16" t="s">
        <v>25</v>
      </c>
      <c r="J77" s="11" t="s">
        <v>26</v>
      </c>
      <c r="K77" s="12" t="s">
        <v>27</v>
      </c>
      <c r="L77" s="12"/>
      <c r="M77" s="17" t="s">
        <v>28</v>
      </c>
      <c r="N77" s="18">
        <v>45852</v>
      </c>
      <c r="O77" s="19" t="e">
        <f>#REF!-N77</f>
        <v>#REF!</v>
      </c>
      <c r="P77" s="20" t="e">
        <f t="shared" si="1"/>
        <v>#REF!</v>
      </c>
      <c r="R77" s="25"/>
      <c r="S77" s="25"/>
      <c r="T77" s="21" t="s">
        <v>30</v>
      </c>
    </row>
    <row r="78" spans="1:20" x14ac:dyDescent="0.25">
      <c r="A78" s="9">
        <v>77</v>
      </c>
      <c r="B78" s="10" t="s">
        <v>121</v>
      </c>
      <c r="C78" s="11" t="s">
        <v>141</v>
      </c>
      <c r="D78" s="12"/>
      <c r="E78" s="13" t="s">
        <v>21</v>
      </c>
      <c r="F78" s="22" t="s">
        <v>262</v>
      </c>
      <c r="G78" s="15" t="s">
        <v>263</v>
      </c>
      <c r="H78" s="13" t="s">
        <v>24</v>
      </c>
      <c r="I78" s="11" t="s">
        <v>36</v>
      </c>
      <c r="J78" s="11" t="s">
        <v>26</v>
      </c>
      <c r="K78" s="12" t="s">
        <v>27</v>
      </c>
      <c r="L78" s="12"/>
      <c r="M78" s="23" t="s">
        <v>125</v>
      </c>
      <c r="N78" s="18">
        <v>43678</v>
      </c>
      <c r="O78" s="19" t="e">
        <f>#REF!-N78</f>
        <v>#REF!</v>
      </c>
      <c r="P78" s="20" t="e">
        <f t="shared" si="1"/>
        <v>#REF!</v>
      </c>
      <c r="R78" s="20" t="s">
        <v>29</v>
      </c>
      <c r="S78" s="20" t="s">
        <v>29</v>
      </c>
      <c r="T78" s="21" t="s">
        <v>30</v>
      </c>
    </row>
    <row r="79" spans="1:20" x14ac:dyDescent="0.25">
      <c r="A79" s="9">
        <v>78</v>
      </c>
      <c r="B79" s="10" t="s">
        <v>40</v>
      </c>
      <c r="C79" s="11" t="s">
        <v>41</v>
      </c>
      <c r="D79" s="12"/>
      <c r="E79" s="13" t="s">
        <v>21</v>
      </c>
      <c r="F79" s="14" t="s">
        <v>264</v>
      </c>
      <c r="G79" s="15" t="s">
        <v>265</v>
      </c>
      <c r="H79" s="13" t="s">
        <v>24</v>
      </c>
      <c r="I79" s="16" t="s">
        <v>25</v>
      </c>
      <c r="J79" s="11" t="s">
        <v>26</v>
      </c>
      <c r="K79" s="12" t="s">
        <v>27</v>
      </c>
      <c r="L79" s="12"/>
      <c r="M79" s="17" t="s">
        <v>71</v>
      </c>
      <c r="N79" s="18">
        <v>45880</v>
      </c>
      <c r="O79" s="19" t="e">
        <f>#REF!-N79</f>
        <v>#REF!</v>
      </c>
      <c r="P79" s="20" t="e">
        <f t="shared" si="1"/>
        <v>#REF!</v>
      </c>
      <c r="R79" s="35" t="s">
        <v>93</v>
      </c>
      <c r="S79" s="35" t="s">
        <v>93</v>
      </c>
      <c r="T79" s="21" t="s">
        <v>30</v>
      </c>
    </row>
    <row r="80" spans="1:20" x14ac:dyDescent="0.25">
      <c r="A80" s="9">
        <v>79</v>
      </c>
      <c r="B80" s="10" t="s">
        <v>65</v>
      </c>
      <c r="C80" s="11" t="s">
        <v>31</v>
      </c>
      <c r="D80" s="12"/>
      <c r="E80" s="13" t="s">
        <v>21</v>
      </c>
      <c r="F80" s="11" t="s">
        <v>266</v>
      </c>
      <c r="G80" s="15" t="s">
        <v>267</v>
      </c>
      <c r="H80" s="13" t="s">
        <v>24</v>
      </c>
      <c r="I80" s="11" t="s">
        <v>36</v>
      </c>
      <c r="J80" s="11" t="s">
        <v>26</v>
      </c>
      <c r="K80" s="12" t="s">
        <v>253</v>
      </c>
      <c r="L80" s="12"/>
      <c r="M80" s="12"/>
      <c r="N80" s="18">
        <v>45363</v>
      </c>
      <c r="O80" s="19" t="e">
        <f>#REF!-N80</f>
        <v>#REF!</v>
      </c>
      <c r="P80" s="20" t="e">
        <f t="shared" si="1"/>
        <v>#REF!</v>
      </c>
      <c r="R80" s="20"/>
      <c r="S80" s="20"/>
      <c r="T80" s="21" t="e">
        <v>#N/A</v>
      </c>
    </row>
    <row r="81" spans="1:20" x14ac:dyDescent="0.25">
      <c r="A81" s="9">
        <v>80</v>
      </c>
      <c r="B81" s="10" t="s">
        <v>58</v>
      </c>
      <c r="C81" s="11" t="s">
        <v>268</v>
      </c>
      <c r="D81" s="12"/>
      <c r="E81" s="13" t="s">
        <v>21</v>
      </c>
      <c r="F81" s="26" t="s">
        <v>269</v>
      </c>
      <c r="G81" s="15" t="s">
        <v>270</v>
      </c>
      <c r="H81" s="31" t="s">
        <v>24</v>
      </c>
      <c r="I81" s="16" t="s">
        <v>36</v>
      </c>
      <c r="J81" s="16" t="s">
        <v>26</v>
      </c>
      <c r="K81" s="12" t="s">
        <v>271</v>
      </c>
      <c r="L81" s="12"/>
      <c r="M81" s="23" t="s">
        <v>162</v>
      </c>
      <c r="N81" s="18">
        <v>45519</v>
      </c>
      <c r="O81" s="19" t="e">
        <f>#REF!-N81</f>
        <v>#REF!</v>
      </c>
      <c r="P81" s="20" t="e">
        <f t="shared" si="1"/>
        <v>#REF!</v>
      </c>
      <c r="R81" s="20"/>
      <c r="S81" s="20"/>
      <c r="T81" s="21" t="e">
        <v>#N/A</v>
      </c>
    </row>
    <row r="82" spans="1:20" x14ac:dyDescent="0.25">
      <c r="A82" s="9">
        <v>81</v>
      </c>
      <c r="B82" s="10" t="s">
        <v>40</v>
      </c>
      <c r="C82" s="11" t="s">
        <v>272</v>
      </c>
      <c r="D82" s="12"/>
      <c r="E82" s="13" t="s">
        <v>21</v>
      </c>
      <c r="F82" s="14" t="s">
        <v>273</v>
      </c>
      <c r="G82" s="15" t="s">
        <v>274</v>
      </c>
      <c r="H82" s="13" t="s">
        <v>24</v>
      </c>
      <c r="I82" s="11" t="s">
        <v>55</v>
      </c>
      <c r="J82" s="11" t="s">
        <v>26</v>
      </c>
      <c r="K82" s="12" t="s">
        <v>27</v>
      </c>
      <c r="L82" s="12"/>
      <c r="M82" s="17" t="s">
        <v>275</v>
      </c>
      <c r="N82" s="18">
        <v>45748</v>
      </c>
      <c r="O82" s="19" t="e">
        <f>#REF!-N82</f>
        <v>#REF!</v>
      </c>
      <c r="P82" s="20" t="e">
        <f t="shared" si="1"/>
        <v>#REF!</v>
      </c>
      <c r="R82" s="25"/>
      <c r="S82" s="25"/>
      <c r="T82" s="21" t="s">
        <v>30</v>
      </c>
    </row>
    <row r="83" spans="1:20" x14ac:dyDescent="0.25">
      <c r="A83" s="9">
        <v>82</v>
      </c>
      <c r="B83" s="10" t="s">
        <v>40</v>
      </c>
      <c r="C83" s="11" t="s">
        <v>41</v>
      </c>
      <c r="D83" s="12"/>
      <c r="E83" s="13" t="s">
        <v>21</v>
      </c>
      <c r="F83" s="22" t="s">
        <v>276</v>
      </c>
      <c r="G83" s="15" t="s">
        <v>277</v>
      </c>
      <c r="H83" s="13" t="s">
        <v>24</v>
      </c>
      <c r="I83" s="11" t="s">
        <v>36</v>
      </c>
      <c r="J83" s="11" t="s">
        <v>26</v>
      </c>
      <c r="K83" s="12" t="s">
        <v>27</v>
      </c>
      <c r="L83" s="12"/>
      <c r="M83" s="23" t="s">
        <v>44</v>
      </c>
      <c r="N83" s="18">
        <v>44986</v>
      </c>
      <c r="O83" s="19" t="e">
        <f>#REF!-N83</f>
        <v>#REF!</v>
      </c>
      <c r="P83" s="20" t="e">
        <f t="shared" si="1"/>
        <v>#REF!</v>
      </c>
      <c r="R83" s="20" t="s">
        <v>29</v>
      </c>
      <c r="S83" s="20" t="s">
        <v>29</v>
      </c>
      <c r="T83" s="21" t="s">
        <v>30</v>
      </c>
    </row>
    <row r="84" spans="1:20" x14ac:dyDescent="0.25">
      <c r="A84" s="9">
        <v>83</v>
      </c>
      <c r="B84" s="10" t="s">
        <v>65</v>
      </c>
      <c r="C84" s="11" t="s">
        <v>278</v>
      </c>
      <c r="D84" s="12"/>
      <c r="E84" s="13" t="s">
        <v>21</v>
      </c>
      <c r="F84" s="11" t="s">
        <v>279</v>
      </c>
      <c r="G84" s="15" t="s">
        <v>280</v>
      </c>
      <c r="H84" s="13" t="s">
        <v>24</v>
      </c>
      <c r="I84" s="16" t="s">
        <v>25</v>
      </c>
      <c r="J84" s="11" t="s">
        <v>26</v>
      </c>
      <c r="K84" s="12" t="s">
        <v>281</v>
      </c>
      <c r="L84" s="12"/>
      <c r="M84" s="12"/>
      <c r="N84" s="18">
        <v>45232</v>
      </c>
      <c r="O84" s="19" t="e">
        <f>#REF!-N84</f>
        <v>#REF!</v>
      </c>
      <c r="P84" s="20" t="e">
        <f t="shared" si="1"/>
        <v>#REF!</v>
      </c>
      <c r="R84" s="20"/>
      <c r="S84" s="20"/>
      <c r="T84" s="21" t="e">
        <v>#N/A</v>
      </c>
    </row>
    <row r="85" spans="1:20" x14ac:dyDescent="0.25">
      <c r="A85" s="9">
        <v>84</v>
      </c>
      <c r="B85" s="10" t="s">
        <v>19</v>
      </c>
      <c r="C85" s="11" t="s">
        <v>109</v>
      </c>
      <c r="D85" s="12" t="s">
        <v>146</v>
      </c>
      <c r="E85" s="13" t="s">
        <v>21</v>
      </c>
      <c r="F85" s="14" t="s">
        <v>282</v>
      </c>
      <c r="G85" s="15" t="s">
        <v>283</v>
      </c>
      <c r="H85" s="13" t="s">
        <v>24</v>
      </c>
      <c r="I85" s="16" t="s">
        <v>25</v>
      </c>
      <c r="J85" s="11" t="s">
        <v>26</v>
      </c>
      <c r="K85" s="12" t="s">
        <v>27</v>
      </c>
      <c r="L85" s="12"/>
      <c r="M85" s="17" t="s">
        <v>113</v>
      </c>
      <c r="N85" s="18">
        <v>45691</v>
      </c>
      <c r="O85" s="19" t="e">
        <f>#REF!-N85</f>
        <v>#REF!</v>
      </c>
      <c r="P85" s="20" t="e">
        <f t="shared" si="1"/>
        <v>#REF!</v>
      </c>
      <c r="R85" s="20" t="s">
        <v>29</v>
      </c>
      <c r="S85" s="25"/>
      <c r="T85" s="21" t="s">
        <v>30</v>
      </c>
    </row>
    <row r="86" spans="1:20" x14ac:dyDescent="0.25">
      <c r="A86" s="9">
        <v>85</v>
      </c>
      <c r="B86" s="10" t="s">
        <v>19</v>
      </c>
      <c r="C86" s="11" t="s">
        <v>20</v>
      </c>
      <c r="D86" s="12"/>
      <c r="E86" s="13" t="s">
        <v>21</v>
      </c>
      <c r="F86" s="14" t="s">
        <v>284</v>
      </c>
      <c r="G86" s="15" t="s">
        <v>285</v>
      </c>
      <c r="H86" s="13" t="s">
        <v>24</v>
      </c>
      <c r="I86" s="16" t="s">
        <v>25</v>
      </c>
      <c r="J86" s="11" t="s">
        <v>26</v>
      </c>
      <c r="K86" s="12" t="s">
        <v>27</v>
      </c>
      <c r="L86" s="12"/>
      <c r="M86" s="17" t="s">
        <v>116</v>
      </c>
      <c r="N86" s="18">
        <v>45444</v>
      </c>
      <c r="O86" s="19" t="e">
        <f>#REF!-N86</f>
        <v>#REF!</v>
      </c>
      <c r="P86" s="20" t="e">
        <f t="shared" si="1"/>
        <v>#REF!</v>
      </c>
      <c r="R86" s="20" t="s">
        <v>29</v>
      </c>
      <c r="S86" s="20" t="s">
        <v>29</v>
      </c>
      <c r="T86" s="21" t="s">
        <v>30</v>
      </c>
    </row>
    <row r="87" spans="1:20" x14ac:dyDescent="0.25">
      <c r="A87" s="9">
        <v>86</v>
      </c>
      <c r="B87" s="10" t="s">
        <v>121</v>
      </c>
      <c r="C87" s="11" t="s">
        <v>141</v>
      </c>
      <c r="D87" s="12"/>
      <c r="E87" s="13" t="s">
        <v>21</v>
      </c>
      <c r="F87" s="22" t="s">
        <v>286</v>
      </c>
      <c r="G87" s="15" t="s">
        <v>287</v>
      </c>
      <c r="H87" s="13" t="s">
        <v>24</v>
      </c>
      <c r="I87" s="11" t="s">
        <v>36</v>
      </c>
      <c r="J87" s="11" t="s">
        <v>26</v>
      </c>
      <c r="K87" s="12" t="s">
        <v>27</v>
      </c>
      <c r="L87" s="12"/>
      <c r="M87" s="23" t="s">
        <v>125</v>
      </c>
      <c r="N87" s="18">
        <v>45689</v>
      </c>
      <c r="O87" s="19" t="e">
        <f>#REF!-N87</f>
        <v>#REF!</v>
      </c>
      <c r="P87" s="20" t="e">
        <f t="shared" si="1"/>
        <v>#REF!</v>
      </c>
      <c r="R87" s="25"/>
      <c r="S87" s="25"/>
      <c r="T87" s="21" t="e">
        <v>#N/A</v>
      </c>
    </row>
    <row r="88" spans="1:20" x14ac:dyDescent="0.25">
      <c r="A88" s="9">
        <v>87</v>
      </c>
      <c r="B88" s="10" t="s">
        <v>65</v>
      </c>
      <c r="C88" s="11" t="s">
        <v>45</v>
      </c>
      <c r="D88" s="12"/>
      <c r="E88" s="13" t="s">
        <v>21</v>
      </c>
      <c r="F88" s="11" t="s">
        <v>288</v>
      </c>
      <c r="G88" s="15" t="s">
        <v>289</v>
      </c>
      <c r="H88" s="13" t="s">
        <v>24</v>
      </c>
      <c r="I88" s="11" t="s">
        <v>36</v>
      </c>
      <c r="J88" s="11" t="s">
        <v>26</v>
      </c>
      <c r="K88" s="12" t="s">
        <v>290</v>
      </c>
      <c r="L88" s="12"/>
      <c r="M88" s="12"/>
      <c r="N88" s="18">
        <v>44774</v>
      </c>
      <c r="O88" s="19" t="e">
        <f>#REF!-N88</f>
        <v>#REF!</v>
      </c>
      <c r="P88" s="20" t="e">
        <f t="shared" si="1"/>
        <v>#REF!</v>
      </c>
      <c r="R88" s="20"/>
      <c r="S88" s="20"/>
      <c r="T88" s="21" t="s">
        <v>30</v>
      </c>
    </row>
    <row r="89" spans="1:20" x14ac:dyDescent="0.25">
      <c r="A89" s="9">
        <v>88</v>
      </c>
      <c r="B89" s="10" t="s">
        <v>51</v>
      </c>
      <c r="C89" s="11" t="s">
        <v>52</v>
      </c>
      <c r="D89" s="12"/>
      <c r="E89" s="13" t="s">
        <v>21</v>
      </c>
      <c r="F89" s="11" t="s">
        <v>291</v>
      </c>
      <c r="G89" s="15" t="s">
        <v>292</v>
      </c>
      <c r="H89" s="13" t="s">
        <v>24</v>
      </c>
      <c r="I89" s="11" t="s">
        <v>233</v>
      </c>
      <c r="J89" s="11" t="s">
        <v>61</v>
      </c>
      <c r="K89" s="12" t="s">
        <v>56</v>
      </c>
      <c r="L89" s="13" t="s">
        <v>106</v>
      </c>
      <c r="M89" s="12"/>
      <c r="N89" s="18">
        <v>45551</v>
      </c>
      <c r="O89" s="19" t="e">
        <f>#REF!-N89</f>
        <v>#REF!</v>
      </c>
      <c r="P89" s="20" t="e">
        <f t="shared" si="1"/>
        <v>#REF!</v>
      </c>
      <c r="R89" s="20"/>
      <c r="S89" s="20"/>
      <c r="T89" s="21" t="e">
        <v>#N/A</v>
      </c>
    </row>
    <row r="90" spans="1:20" x14ac:dyDescent="0.25">
      <c r="A90" s="9">
        <v>89</v>
      </c>
      <c r="B90" s="10" t="s">
        <v>51</v>
      </c>
      <c r="C90" s="11" t="s">
        <v>52</v>
      </c>
      <c r="D90" s="12"/>
      <c r="E90" s="13" t="s">
        <v>21</v>
      </c>
      <c r="F90" s="11" t="s">
        <v>293</v>
      </c>
      <c r="G90" s="15" t="s">
        <v>294</v>
      </c>
      <c r="H90" s="13" t="s">
        <v>24</v>
      </c>
      <c r="I90" s="11" t="s">
        <v>295</v>
      </c>
      <c r="J90" s="11" t="s">
        <v>61</v>
      </c>
      <c r="K90" s="12" t="s">
        <v>56</v>
      </c>
      <c r="L90" s="13" t="s">
        <v>106</v>
      </c>
      <c r="M90" s="12"/>
      <c r="N90" s="18">
        <v>45231</v>
      </c>
      <c r="O90" s="19" t="e">
        <f>#REF!-N90</f>
        <v>#REF!</v>
      </c>
      <c r="P90" s="20" t="e">
        <f t="shared" si="1"/>
        <v>#REF!</v>
      </c>
      <c r="R90" s="20"/>
      <c r="S90" s="20"/>
      <c r="T90" s="21" t="e">
        <v>#N/A</v>
      </c>
    </row>
    <row r="91" spans="1:20" x14ac:dyDescent="0.25">
      <c r="A91" s="9">
        <v>90</v>
      </c>
      <c r="B91" s="10" t="s">
        <v>51</v>
      </c>
      <c r="C91" s="11" t="s">
        <v>52</v>
      </c>
      <c r="D91" s="12"/>
      <c r="E91" s="13" t="s">
        <v>21</v>
      </c>
      <c r="F91" s="11" t="s">
        <v>296</v>
      </c>
      <c r="G91" s="15" t="s">
        <v>297</v>
      </c>
      <c r="H91" s="13" t="s">
        <v>24</v>
      </c>
      <c r="I91" s="11" t="s">
        <v>55</v>
      </c>
      <c r="J91" s="11" t="s">
        <v>26</v>
      </c>
      <c r="K91" s="12" t="s">
        <v>298</v>
      </c>
      <c r="L91" s="13" t="s">
        <v>106</v>
      </c>
      <c r="M91" s="12"/>
      <c r="N91" s="18">
        <v>45839</v>
      </c>
      <c r="O91" s="19" t="e">
        <f>#REF!-N91</f>
        <v>#REF!</v>
      </c>
      <c r="P91" s="20" t="e">
        <f t="shared" si="1"/>
        <v>#REF!</v>
      </c>
      <c r="R91" s="20"/>
      <c r="S91" s="20"/>
      <c r="T91" s="21" t="e">
        <v>#N/A</v>
      </c>
    </row>
    <row r="92" spans="1:20" x14ac:dyDescent="0.25">
      <c r="A92" s="9">
        <v>91</v>
      </c>
      <c r="B92" s="10" t="s">
        <v>58</v>
      </c>
      <c r="C92" s="11" t="s">
        <v>76</v>
      </c>
      <c r="D92" s="12"/>
      <c r="E92" s="13" t="s">
        <v>21</v>
      </c>
      <c r="F92" s="22" t="s">
        <v>299</v>
      </c>
      <c r="G92" s="15" t="s">
        <v>300</v>
      </c>
      <c r="H92" s="13" t="s">
        <v>24</v>
      </c>
      <c r="I92" s="11" t="s">
        <v>36</v>
      </c>
      <c r="J92" s="11" t="s">
        <v>61</v>
      </c>
      <c r="K92" s="12" t="s">
        <v>301</v>
      </c>
      <c r="L92" s="12"/>
      <c r="M92" s="23"/>
      <c r="N92" s="18">
        <v>44563</v>
      </c>
      <c r="O92" s="19" t="e">
        <f>#REF!-N92</f>
        <v>#REF!</v>
      </c>
      <c r="P92" s="20" t="e">
        <f t="shared" si="1"/>
        <v>#REF!</v>
      </c>
      <c r="R92" s="20"/>
      <c r="S92" s="20"/>
      <c r="T92" s="21" t="e">
        <v>#N/A</v>
      </c>
    </row>
    <row r="93" spans="1:20" x14ac:dyDescent="0.25">
      <c r="A93" s="9">
        <v>92</v>
      </c>
      <c r="B93" s="10" t="s">
        <v>51</v>
      </c>
      <c r="C93" s="11" t="s">
        <v>52</v>
      </c>
      <c r="D93" s="12"/>
      <c r="E93" s="13" t="s">
        <v>21</v>
      </c>
      <c r="F93" s="11" t="s">
        <v>302</v>
      </c>
      <c r="G93" s="15" t="s">
        <v>303</v>
      </c>
      <c r="H93" s="13" t="s">
        <v>24</v>
      </c>
      <c r="I93" s="11" t="s">
        <v>36</v>
      </c>
      <c r="J93" s="11" t="s">
        <v>61</v>
      </c>
      <c r="K93" s="12" t="s">
        <v>56</v>
      </c>
      <c r="L93" s="13" t="s">
        <v>57</v>
      </c>
      <c r="M93" s="12"/>
      <c r="N93" s="18">
        <v>44928</v>
      </c>
      <c r="O93" s="19" t="e">
        <f>#REF!-N93</f>
        <v>#REF!</v>
      </c>
      <c r="P93" s="20" t="e">
        <f t="shared" si="1"/>
        <v>#REF!</v>
      </c>
      <c r="R93" s="20"/>
      <c r="S93" s="20"/>
      <c r="T93" s="21" t="e">
        <v>#N/A</v>
      </c>
    </row>
    <row r="94" spans="1:20" x14ac:dyDescent="0.25">
      <c r="A94" s="9">
        <v>93</v>
      </c>
      <c r="B94" s="10" t="s">
        <v>40</v>
      </c>
      <c r="C94" s="11" t="s">
        <v>41</v>
      </c>
      <c r="D94" s="12"/>
      <c r="E94" s="13" t="s">
        <v>21</v>
      </c>
      <c r="F94" s="22" t="s">
        <v>304</v>
      </c>
      <c r="G94" s="15" t="s">
        <v>305</v>
      </c>
      <c r="H94" s="13" t="s">
        <v>24</v>
      </c>
      <c r="I94" s="11" t="s">
        <v>36</v>
      </c>
      <c r="J94" s="11" t="s">
        <v>26</v>
      </c>
      <c r="K94" s="12" t="s">
        <v>27</v>
      </c>
      <c r="L94" s="12"/>
      <c r="M94" s="23" t="s">
        <v>44</v>
      </c>
      <c r="N94" s="18">
        <v>45839</v>
      </c>
      <c r="O94" s="19" t="e">
        <f>#REF!-N94</f>
        <v>#REF!</v>
      </c>
      <c r="P94" s="20" t="e">
        <f t="shared" si="1"/>
        <v>#REF!</v>
      </c>
      <c r="R94" s="20" t="s">
        <v>29</v>
      </c>
      <c r="S94" s="20" t="s">
        <v>29</v>
      </c>
      <c r="T94" s="21" t="s">
        <v>30</v>
      </c>
    </row>
    <row r="95" spans="1:20" x14ac:dyDescent="0.25">
      <c r="A95" s="9">
        <v>94</v>
      </c>
      <c r="B95" s="10" t="s">
        <v>40</v>
      </c>
      <c r="C95" s="11" t="s">
        <v>272</v>
      </c>
      <c r="D95" s="12"/>
      <c r="E95" s="13" t="s">
        <v>21</v>
      </c>
      <c r="F95" s="14" t="s">
        <v>306</v>
      </c>
      <c r="G95" s="15" t="s">
        <v>307</v>
      </c>
      <c r="H95" s="13" t="s">
        <v>24</v>
      </c>
      <c r="I95" s="11" t="s">
        <v>36</v>
      </c>
      <c r="J95" s="11" t="s">
        <v>26</v>
      </c>
      <c r="K95" s="12" t="s">
        <v>27</v>
      </c>
      <c r="L95" s="12"/>
      <c r="M95" s="17" t="s">
        <v>275</v>
      </c>
      <c r="N95" s="18">
        <v>44105</v>
      </c>
      <c r="O95" s="19" t="e">
        <f>#REF!-N95</f>
        <v>#REF!</v>
      </c>
      <c r="P95" s="20" t="e">
        <f t="shared" si="1"/>
        <v>#REF!</v>
      </c>
      <c r="R95" s="20" t="s">
        <v>29</v>
      </c>
      <c r="S95" s="20" t="s">
        <v>29</v>
      </c>
      <c r="T95" s="21" t="s">
        <v>30</v>
      </c>
    </row>
    <row r="96" spans="1:20" x14ac:dyDescent="0.25">
      <c r="A96" s="9">
        <v>95</v>
      </c>
      <c r="B96" s="10" t="s">
        <v>51</v>
      </c>
      <c r="C96" s="11" t="s">
        <v>52</v>
      </c>
      <c r="D96" s="12"/>
      <c r="E96" s="13" t="s">
        <v>21</v>
      </c>
      <c r="F96" s="11" t="s">
        <v>308</v>
      </c>
      <c r="G96" s="15" t="s">
        <v>309</v>
      </c>
      <c r="H96" s="13" t="s">
        <v>35</v>
      </c>
      <c r="I96" s="11" t="s">
        <v>310</v>
      </c>
      <c r="J96" s="11" t="s">
        <v>61</v>
      </c>
      <c r="K96" s="12" t="s">
        <v>56</v>
      </c>
      <c r="L96" s="13" t="s">
        <v>106</v>
      </c>
      <c r="M96" s="12"/>
      <c r="N96" s="18">
        <v>44317</v>
      </c>
      <c r="O96" s="19" t="e">
        <f>#REF!-N96</f>
        <v>#REF!</v>
      </c>
      <c r="P96" s="20" t="e">
        <f t="shared" si="1"/>
        <v>#REF!</v>
      </c>
      <c r="R96" s="20"/>
      <c r="S96" s="20"/>
      <c r="T96" s="21" t="e">
        <v>#N/A</v>
      </c>
    </row>
    <row r="97" spans="1:20" x14ac:dyDescent="0.25">
      <c r="A97" s="9">
        <v>96</v>
      </c>
      <c r="B97" s="10" t="s">
        <v>58</v>
      </c>
      <c r="C97" s="11" t="s">
        <v>72</v>
      </c>
      <c r="D97" s="12"/>
      <c r="E97" s="13" t="s">
        <v>21</v>
      </c>
      <c r="F97" s="26" t="s">
        <v>311</v>
      </c>
      <c r="G97" s="15" t="s">
        <v>312</v>
      </c>
      <c r="H97" s="31" t="s">
        <v>24</v>
      </c>
      <c r="I97" s="16" t="s">
        <v>36</v>
      </c>
      <c r="J97" s="16" t="s">
        <v>26</v>
      </c>
      <c r="K97" s="12" t="s">
        <v>313</v>
      </c>
      <c r="L97" s="12"/>
      <c r="M97" s="23"/>
      <c r="N97" s="18">
        <v>44621</v>
      </c>
      <c r="O97" s="19" t="e">
        <f>#REF!-N97</f>
        <v>#REF!</v>
      </c>
      <c r="P97" s="20" t="e">
        <f t="shared" si="1"/>
        <v>#REF!</v>
      </c>
      <c r="R97" s="20"/>
      <c r="S97" s="20"/>
      <c r="T97" s="21" t="e">
        <v>#N/A</v>
      </c>
    </row>
    <row r="98" spans="1:20" x14ac:dyDescent="0.25">
      <c r="A98" s="9">
        <v>97</v>
      </c>
      <c r="B98" s="10" t="s">
        <v>40</v>
      </c>
      <c r="C98" s="11" t="s">
        <v>272</v>
      </c>
      <c r="D98" s="12"/>
      <c r="E98" s="13" t="s">
        <v>21</v>
      </c>
      <c r="F98" s="14" t="s">
        <v>314</v>
      </c>
      <c r="G98" s="15" t="s">
        <v>315</v>
      </c>
      <c r="H98" s="13" t="s">
        <v>24</v>
      </c>
      <c r="I98" s="11" t="s">
        <v>36</v>
      </c>
      <c r="J98" s="11" t="s">
        <v>26</v>
      </c>
      <c r="K98" s="12" t="s">
        <v>27</v>
      </c>
      <c r="L98" s="12"/>
      <c r="M98" s="17" t="s">
        <v>275</v>
      </c>
      <c r="N98" s="18">
        <v>44986</v>
      </c>
      <c r="O98" s="19" t="e">
        <f>#REF!-N98</f>
        <v>#REF!</v>
      </c>
      <c r="P98" s="20" t="e">
        <f t="shared" si="1"/>
        <v>#REF!</v>
      </c>
      <c r="R98" s="20" t="s">
        <v>29</v>
      </c>
      <c r="S98" s="20" t="s">
        <v>29</v>
      </c>
      <c r="T98" s="21" t="s">
        <v>30</v>
      </c>
    </row>
    <row r="99" spans="1:20" x14ac:dyDescent="0.25">
      <c r="A99" s="9">
        <v>98</v>
      </c>
      <c r="B99" s="10" t="s">
        <v>40</v>
      </c>
      <c r="C99" s="11" t="s">
        <v>94</v>
      </c>
      <c r="D99" s="12"/>
      <c r="E99" s="13" t="s">
        <v>21</v>
      </c>
      <c r="F99" s="14" t="s">
        <v>316</v>
      </c>
      <c r="G99" s="15" t="s">
        <v>317</v>
      </c>
      <c r="H99" s="13" t="s">
        <v>24</v>
      </c>
      <c r="I99" s="11" t="s">
        <v>55</v>
      </c>
      <c r="J99" s="11" t="s">
        <v>26</v>
      </c>
      <c r="K99" s="12" t="s">
        <v>27</v>
      </c>
      <c r="L99" s="12"/>
      <c r="M99" s="17" t="s">
        <v>97</v>
      </c>
      <c r="N99" s="18">
        <v>45481</v>
      </c>
      <c r="O99" s="19" t="e">
        <f>#REF!-N99</f>
        <v>#REF!</v>
      </c>
      <c r="P99" s="20" t="e">
        <f t="shared" si="1"/>
        <v>#REF!</v>
      </c>
      <c r="R99" s="20" t="s">
        <v>29</v>
      </c>
      <c r="S99" s="20" t="s">
        <v>29</v>
      </c>
      <c r="T99" s="21" t="s">
        <v>30</v>
      </c>
    </row>
    <row r="100" spans="1:20" x14ac:dyDescent="0.25">
      <c r="A100" s="9">
        <v>99</v>
      </c>
      <c r="B100" s="10" t="s">
        <v>65</v>
      </c>
      <c r="C100" s="11" t="s">
        <v>241</v>
      </c>
      <c r="D100" s="12"/>
      <c r="E100" s="13" t="s">
        <v>21</v>
      </c>
      <c r="F100" s="16" t="s">
        <v>318</v>
      </c>
      <c r="G100" s="15" t="s">
        <v>319</v>
      </c>
      <c r="H100" s="13" t="s">
        <v>24</v>
      </c>
      <c r="I100" s="11" t="s">
        <v>36</v>
      </c>
      <c r="J100" s="11" t="s">
        <v>26</v>
      </c>
      <c r="K100" s="12" t="s">
        <v>182</v>
      </c>
      <c r="L100" s="12"/>
      <c r="M100" s="12"/>
      <c r="N100" s="18">
        <v>42583</v>
      </c>
      <c r="O100" s="19" t="e">
        <f>#REF!-N100</f>
        <v>#REF!</v>
      </c>
      <c r="P100" s="20" t="e">
        <f t="shared" si="1"/>
        <v>#REF!</v>
      </c>
      <c r="R100" s="20"/>
      <c r="S100" s="20"/>
      <c r="T100" s="21" t="e">
        <v>#N/A</v>
      </c>
    </row>
    <row r="101" spans="1:20" x14ac:dyDescent="0.25">
      <c r="A101" s="9">
        <v>100</v>
      </c>
      <c r="B101" s="10" t="s">
        <v>40</v>
      </c>
      <c r="C101" s="11" t="s">
        <v>41</v>
      </c>
      <c r="D101" s="12"/>
      <c r="E101" s="13" t="s">
        <v>21</v>
      </c>
      <c r="F101" s="22" t="s">
        <v>320</v>
      </c>
      <c r="G101" s="15" t="s">
        <v>321</v>
      </c>
      <c r="H101" s="13" t="s">
        <v>24</v>
      </c>
      <c r="I101" s="11" t="s">
        <v>36</v>
      </c>
      <c r="J101" s="11" t="s">
        <v>26</v>
      </c>
      <c r="K101" s="12" t="s">
        <v>27</v>
      </c>
      <c r="L101" s="12"/>
      <c r="M101" s="23" t="s">
        <v>44</v>
      </c>
      <c r="N101" s="18">
        <v>45545</v>
      </c>
      <c r="O101" s="19" t="e">
        <f>#REF!-N101</f>
        <v>#REF!</v>
      </c>
      <c r="P101" s="20" t="e">
        <f t="shared" si="1"/>
        <v>#REF!</v>
      </c>
      <c r="R101" s="20" t="s">
        <v>29</v>
      </c>
      <c r="S101" s="20" t="s">
        <v>29</v>
      </c>
      <c r="T101" s="21" t="s">
        <v>30</v>
      </c>
    </row>
    <row r="102" spans="1:20" x14ac:dyDescent="0.25">
      <c r="A102" s="9">
        <v>101</v>
      </c>
      <c r="B102" s="10" t="s">
        <v>51</v>
      </c>
      <c r="C102" s="11" t="s">
        <v>52</v>
      </c>
      <c r="D102" s="12"/>
      <c r="E102" s="13" t="s">
        <v>21</v>
      </c>
      <c r="F102" s="11" t="s">
        <v>322</v>
      </c>
      <c r="G102" s="15" t="s">
        <v>323</v>
      </c>
      <c r="H102" s="13" t="s">
        <v>24</v>
      </c>
      <c r="I102" s="11" t="s">
        <v>55</v>
      </c>
      <c r="J102" s="11" t="s">
        <v>26</v>
      </c>
      <c r="K102" s="12" t="s">
        <v>298</v>
      </c>
      <c r="L102" s="13" t="s">
        <v>106</v>
      </c>
      <c r="M102" s="12"/>
      <c r="N102" s="18">
        <v>45839</v>
      </c>
      <c r="O102" s="19" t="e">
        <f>#REF!-N102</f>
        <v>#REF!</v>
      </c>
      <c r="P102" s="20" t="e">
        <f t="shared" si="1"/>
        <v>#REF!</v>
      </c>
      <c r="R102" s="20"/>
      <c r="S102" s="20"/>
      <c r="T102" s="21" t="e">
        <v>#N/A</v>
      </c>
    </row>
    <row r="103" spans="1:20" x14ac:dyDescent="0.25">
      <c r="A103" s="9">
        <v>102</v>
      </c>
      <c r="B103" s="10" t="s">
        <v>58</v>
      </c>
      <c r="C103" s="11" t="s">
        <v>72</v>
      </c>
      <c r="D103" s="12"/>
      <c r="E103" s="13" t="s">
        <v>21</v>
      </c>
      <c r="F103" s="26" t="s">
        <v>324</v>
      </c>
      <c r="G103" s="15" t="s">
        <v>325</v>
      </c>
      <c r="H103" s="31" t="s">
        <v>24</v>
      </c>
      <c r="I103" s="16" t="s">
        <v>36</v>
      </c>
      <c r="J103" s="16" t="s">
        <v>26</v>
      </c>
      <c r="K103" s="12" t="s">
        <v>75</v>
      </c>
      <c r="L103" s="12"/>
      <c r="M103" s="23"/>
      <c r="N103" s="18">
        <v>45840</v>
      </c>
      <c r="O103" s="19" t="e">
        <f>#REF!-N103</f>
        <v>#REF!</v>
      </c>
      <c r="P103" s="20" t="e">
        <f t="shared" si="1"/>
        <v>#REF!</v>
      </c>
      <c r="R103" s="20"/>
      <c r="S103" s="20"/>
      <c r="T103" s="21" t="s">
        <v>30</v>
      </c>
    </row>
    <row r="104" spans="1:20" x14ac:dyDescent="0.25">
      <c r="A104" s="9">
        <v>103</v>
      </c>
      <c r="B104" s="10" t="s">
        <v>58</v>
      </c>
      <c r="C104" s="11" t="s">
        <v>72</v>
      </c>
      <c r="D104" s="12"/>
      <c r="E104" s="13" t="s">
        <v>21</v>
      </c>
      <c r="F104" s="22" t="s">
        <v>326</v>
      </c>
      <c r="G104" s="15" t="s">
        <v>327</v>
      </c>
      <c r="H104" s="13" t="s">
        <v>35</v>
      </c>
      <c r="I104" s="11" t="s">
        <v>55</v>
      </c>
      <c r="J104" s="11" t="s">
        <v>26</v>
      </c>
      <c r="K104" s="12" t="s">
        <v>230</v>
      </c>
      <c r="L104" s="12"/>
      <c r="M104" s="23"/>
      <c r="N104" s="18">
        <v>45691</v>
      </c>
      <c r="O104" s="19" t="e">
        <f>#REF!-N104</f>
        <v>#REF!</v>
      </c>
      <c r="P104" s="20" t="e">
        <f t="shared" si="1"/>
        <v>#REF!</v>
      </c>
      <c r="R104" s="20"/>
      <c r="S104" s="20"/>
      <c r="T104" s="21" t="e">
        <v>#N/A</v>
      </c>
    </row>
    <row r="105" spans="1:20" x14ac:dyDescent="0.25">
      <c r="A105" s="9">
        <v>104</v>
      </c>
      <c r="B105" s="10" t="s">
        <v>40</v>
      </c>
      <c r="C105" s="11" t="s">
        <v>272</v>
      </c>
      <c r="D105" s="12"/>
      <c r="E105" s="13" t="s">
        <v>21</v>
      </c>
      <c r="F105" s="14" t="s">
        <v>328</v>
      </c>
      <c r="G105" s="15" t="s">
        <v>329</v>
      </c>
      <c r="H105" s="13" t="s">
        <v>24</v>
      </c>
      <c r="I105" s="11" t="s">
        <v>36</v>
      </c>
      <c r="J105" s="11" t="s">
        <v>26</v>
      </c>
      <c r="K105" s="12" t="s">
        <v>27</v>
      </c>
      <c r="L105" s="12"/>
      <c r="M105" s="17" t="s">
        <v>275</v>
      </c>
      <c r="N105" s="18">
        <v>41886</v>
      </c>
      <c r="O105" s="19" t="e">
        <f>#REF!-N105</f>
        <v>#REF!</v>
      </c>
      <c r="P105" s="20" t="e">
        <f t="shared" si="1"/>
        <v>#REF!</v>
      </c>
      <c r="R105" s="36"/>
      <c r="S105" s="36"/>
      <c r="T105" s="21" t="s">
        <v>30</v>
      </c>
    </row>
    <row r="106" spans="1:20" x14ac:dyDescent="0.25">
      <c r="A106" s="9">
        <v>105</v>
      </c>
      <c r="B106" s="10" t="s">
        <v>51</v>
      </c>
      <c r="C106" s="11" t="s">
        <v>52</v>
      </c>
      <c r="D106" s="12"/>
      <c r="E106" s="13" t="s">
        <v>21</v>
      </c>
      <c r="F106" s="11" t="s">
        <v>330</v>
      </c>
      <c r="G106" s="15" t="s">
        <v>331</v>
      </c>
      <c r="H106" s="13" t="s">
        <v>24</v>
      </c>
      <c r="I106" s="11" t="s">
        <v>332</v>
      </c>
      <c r="J106" s="11" t="s">
        <v>61</v>
      </c>
      <c r="K106" s="12" t="s">
        <v>56</v>
      </c>
      <c r="L106" s="13" t="s">
        <v>57</v>
      </c>
      <c r="M106" s="12"/>
      <c r="N106" s="18">
        <v>44198</v>
      </c>
      <c r="O106" s="19" t="e">
        <f>#REF!-N106</f>
        <v>#REF!</v>
      </c>
      <c r="P106" s="20" t="e">
        <f t="shared" ref="P106:P160" si="2">IF(O106&lt;=180,"NUEVO",IF(O106&lt;=360,"NOVEL",IF(O106&lt;=720,"SENIOR JUNIOR",IF(O106&lt;=1800,"SENIOR","MASTER"))))</f>
        <v>#REF!</v>
      </c>
      <c r="R106" s="20"/>
      <c r="S106" s="20"/>
      <c r="T106" s="21" t="e">
        <v>#N/A</v>
      </c>
    </row>
    <row r="107" spans="1:20" x14ac:dyDescent="0.25">
      <c r="A107" s="9">
        <v>106</v>
      </c>
      <c r="B107" s="10" t="s">
        <v>65</v>
      </c>
      <c r="C107" s="11" t="s">
        <v>333</v>
      </c>
      <c r="D107" s="12"/>
      <c r="E107" s="13" t="s">
        <v>21</v>
      </c>
      <c r="F107" s="11" t="s">
        <v>334</v>
      </c>
      <c r="G107" s="15" t="s">
        <v>335</v>
      </c>
      <c r="H107" s="13" t="s">
        <v>24</v>
      </c>
      <c r="I107" s="11" t="s">
        <v>36</v>
      </c>
      <c r="J107" s="11" t="s">
        <v>26</v>
      </c>
      <c r="K107" s="12" t="s">
        <v>336</v>
      </c>
      <c r="L107" s="12"/>
      <c r="M107" s="12"/>
      <c r="N107" s="18">
        <v>41487</v>
      </c>
      <c r="O107" s="19" t="e">
        <f>#REF!-N107</f>
        <v>#REF!</v>
      </c>
      <c r="P107" s="20" t="e">
        <f t="shared" si="2"/>
        <v>#REF!</v>
      </c>
      <c r="R107" s="20"/>
      <c r="S107" s="20"/>
      <c r="T107" s="21" t="e">
        <v>#N/A</v>
      </c>
    </row>
    <row r="108" spans="1:20" x14ac:dyDescent="0.25">
      <c r="A108" s="9">
        <v>107</v>
      </c>
      <c r="B108" s="10" t="s">
        <v>51</v>
      </c>
      <c r="C108" s="11" t="s">
        <v>52</v>
      </c>
      <c r="D108" s="12"/>
      <c r="E108" s="13" t="s">
        <v>21</v>
      </c>
      <c r="F108" s="11" t="s">
        <v>337</v>
      </c>
      <c r="G108" s="15" t="s">
        <v>338</v>
      </c>
      <c r="H108" s="13" t="s">
        <v>24</v>
      </c>
      <c r="I108" s="11" t="s">
        <v>295</v>
      </c>
      <c r="J108" s="11" t="s">
        <v>61</v>
      </c>
      <c r="K108" s="12" t="s">
        <v>101</v>
      </c>
      <c r="L108" s="13" t="s">
        <v>57</v>
      </c>
      <c r="M108" s="12"/>
      <c r="N108" s="18">
        <v>45444</v>
      </c>
      <c r="O108" s="19" t="e">
        <f>#REF!-N108</f>
        <v>#REF!</v>
      </c>
      <c r="P108" s="20" t="e">
        <f t="shared" si="2"/>
        <v>#REF!</v>
      </c>
      <c r="R108" s="20"/>
      <c r="S108" s="20"/>
      <c r="T108" s="21" t="e">
        <v>#N/A</v>
      </c>
    </row>
    <row r="109" spans="1:20" x14ac:dyDescent="0.25">
      <c r="A109" s="9">
        <v>108</v>
      </c>
      <c r="B109" s="10" t="s">
        <v>121</v>
      </c>
      <c r="C109" s="11" t="s">
        <v>122</v>
      </c>
      <c r="D109" s="12"/>
      <c r="E109" s="13" t="s">
        <v>21</v>
      </c>
      <c r="F109" s="22" t="s">
        <v>339</v>
      </c>
      <c r="G109" s="15" t="s">
        <v>340</v>
      </c>
      <c r="H109" s="13" t="s">
        <v>24</v>
      </c>
      <c r="I109" s="11" t="s">
        <v>36</v>
      </c>
      <c r="J109" s="11" t="s">
        <v>26</v>
      </c>
      <c r="K109" s="23" t="s">
        <v>27</v>
      </c>
      <c r="L109" s="12"/>
      <c r="M109" s="12" t="s">
        <v>125</v>
      </c>
      <c r="N109" s="18">
        <v>45170</v>
      </c>
      <c r="O109" s="19" t="e">
        <f>#REF!-N109</f>
        <v>#REF!</v>
      </c>
      <c r="P109" s="20" t="e">
        <f t="shared" si="2"/>
        <v>#REF!</v>
      </c>
      <c r="R109" s="35" t="s">
        <v>29</v>
      </c>
      <c r="S109" s="35" t="s">
        <v>29</v>
      </c>
      <c r="T109" s="21" t="s">
        <v>30</v>
      </c>
    </row>
    <row r="110" spans="1:20" x14ac:dyDescent="0.25">
      <c r="A110" s="9">
        <v>109</v>
      </c>
      <c r="B110" s="10" t="s">
        <v>45</v>
      </c>
      <c r="C110" s="11" t="s">
        <v>341</v>
      </c>
      <c r="D110" s="12"/>
      <c r="E110" s="13" t="s">
        <v>21</v>
      </c>
      <c r="F110" s="22" t="s">
        <v>342</v>
      </c>
      <c r="G110" s="15" t="s">
        <v>343</v>
      </c>
      <c r="H110" s="13" t="s">
        <v>24</v>
      </c>
      <c r="I110" s="11" t="s">
        <v>36</v>
      </c>
      <c r="J110" s="11" t="s">
        <v>26</v>
      </c>
      <c r="K110" s="12" t="s">
        <v>27</v>
      </c>
      <c r="L110" s="12"/>
      <c r="M110" s="23" t="s">
        <v>344</v>
      </c>
      <c r="N110" s="18">
        <v>42984</v>
      </c>
      <c r="O110" s="19" t="e">
        <f>#REF!-N110</f>
        <v>#REF!</v>
      </c>
      <c r="P110" s="20" t="e">
        <f t="shared" si="2"/>
        <v>#REF!</v>
      </c>
      <c r="R110" s="35" t="s">
        <v>29</v>
      </c>
      <c r="S110" s="36"/>
      <c r="T110" s="21" t="s">
        <v>30</v>
      </c>
    </row>
    <row r="111" spans="1:20" x14ac:dyDescent="0.25">
      <c r="A111" s="9">
        <v>110</v>
      </c>
      <c r="B111" s="10" t="s">
        <v>40</v>
      </c>
      <c r="C111" s="11" t="s">
        <v>94</v>
      </c>
      <c r="D111" s="12"/>
      <c r="E111" s="13" t="s">
        <v>21</v>
      </c>
      <c r="F111" s="14" t="s">
        <v>345</v>
      </c>
      <c r="G111" s="15" t="s">
        <v>346</v>
      </c>
      <c r="H111" s="13" t="s">
        <v>24</v>
      </c>
      <c r="I111" s="11" t="s">
        <v>55</v>
      </c>
      <c r="J111" s="11" t="s">
        <v>26</v>
      </c>
      <c r="K111" s="12" t="s">
        <v>27</v>
      </c>
      <c r="L111" s="12"/>
      <c r="M111" s="17" t="s">
        <v>97</v>
      </c>
      <c r="N111" s="18">
        <v>45813</v>
      </c>
      <c r="O111" s="19" t="e">
        <f>#REF!-N111</f>
        <v>#REF!</v>
      </c>
      <c r="P111" s="20" t="e">
        <f t="shared" si="2"/>
        <v>#REF!</v>
      </c>
      <c r="R111" s="36"/>
      <c r="S111" s="36"/>
      <c r="T111" s="21" t="s">
        <v>30</v>
      </c>
    </row>
    <row r="112" spans="1:20" x14ac:dyDescent="0.25">
      <c r="A112" s="9">
        <v>111</v>
      </c>
      <c r="B112" s="10" t="s">
        <v>58</v>
      </c>
      <c r="C112" s="11" t="s">
        <v>52</v>
      </c>
      <c r="D112" s="12"/>
      <c r="E112" s="13" t="s">
        <v>21</v>
      </c>
      <c r="F112" s="22" t="s">
        <v>347</v>
      </c>
      <c r="G112" s="15" t="s">
        <v>348</v>
      </c>
      <c r="H112" s="13" t="s">
        <v>24</v>
      </c>
      <c r="I112" s="11" t="s">
        <v>36</v>
      </c>
      <c r="J112" s="11" t="s">
        <v>26</v>
      </c>
      <c r="K112" s="12" t="s">
        <v>349</v>
      </c>
      <c r="L112" s="12"/>
      <c r="M112" s="23"/>
      <c r="N112" s="18">
        <v>45839</v>
      </c>
      <c r="O112" s="19" t="e">
        <f>#REF!-N112</f>
        <v>#REF!</v>
      </c>
      <c r="P112" s="20" t="e">
        <f t="shared" si="2"/>
        <v>#REF!</v>
      </c>
      <c r="R112" s="20"/>
      <c r="S112" s="20"/>
      <c r="T112" s="21" t="e">
        <v>#N/A</v>
      </c>
    </row>
    <row r="113" spans="1:20" x14ac:dyDescent="0.25">
      <c r="A113" s="9">
        <v>112</v>
      </c>
      <c r="B113" s="10" t="s">
        <v>58</v>
      </c>
      <c r="C113" s="11" t="s">
        <v>52</v>
      </c>
      <c r="D113" s="12"/>
      <c r="E113" s="13" t="s">
        <v>21</v>
      </c>
      <c r="F113" s="22" t="s">
        <v>350</v>
      </c>
      <c r="G113" s="15" t="s">
        <v>351</v>
      </c>
      <c r="H113" s="13" t="s">
        <v>24</v>
      </c>
      <c r="I113" s="11" t="s">
        <v>36</v>
      </c>
      <c r="J113" s="11" t="s">
        <v>26</v>
      </c>
      <c r="K113" s="12" t="s">
        <v>352</v>
      </c>
      <c r="L113" s="12"/>
      <c r="M113" s="23"/>
      <c r="N113" s="18">
        <v>45444</v>
      </c>
      <c r="O113" s="19" t="e">
        <f>#REF!-N113</f>
        <v>#REF!</v>
      </c>
      <c r="P113" s="20" t="e">
        <f t="shared" si="2"/>
        <v>#REF!</v>
      </c>
      <c r="R113" s="20"/>
      <c r="S113" s="20"/>
      <c r="T113" s="21" t="e">
        <v>#N/A</v>
      </c>
    </row>
    <row r="114" spans="1:20" x14ac:dyDescent="0.25">
      <c r="A114" s="9">
        <v>113</v>
      </c>
      <c r="B114" s="10" t="s">
        <v>19</v>
      </c>
      <c r="C114" s="11" t="s">
        <v>20</v>
      </c>
      <c r="D114" s="12"/>
      <c r="E114" s="13" t="s">
        <v>21</v>
      </c>
      <c r="F114" s="14" t="s">
        <v>353</v>
      </c>
      <c r="G114" s="15" t="s">
        <v>354</v>
      </c>
      <c r="H114" s="13" t="s">
        <v>24</v>
      </c>
      <c r="I114" s="16" t="s">
        <v>25</v>
      </c>
      <c r="J114" s="11" t="s">
        <v>26</v>
      </c>
      <c r="K114" s="12" t="s">
        <v>27</v>
      </c>
      <c r="L114" s="12"/>
      <c r="M114" s="17" t="s">
        <v>116</v>
      </c>
      <c r="N114" s="18">
        <v>45398</v>
      </c>
      <c r="O114" s="19" t="e">
        <f>#REF!-N114</f>
        <v>#REF!</v>
      </c>
      <c r="P114" s="20" t="e">
        <f t="shared" si="2"/>
        <v>#REF!</v>
      </c>
      <c r="R114" s="20" t="s">
        <v>29</v>
      </c>
      <c r="S114" s="20" t="s">
        <v>29</v>
      </c>
      <c r="T114" s="21" t="s">
        <v>30</v>
      </c>
    </row>
    <row r="115" spans="1:20" x14ac:dyDescent="0.25">
      <c r="A115" s="9">
        <v>114</v>
      </c>
      <c r="B115" s="10" t="s">
        <v>40</v>
      </c>
      <c r="C115" s="11" t="s">
        <v>41</v>
      </c>
      <c r="D115" s="12"/>
      <c r="E115" s="13" t="s">
        <v>21</v>
      </c>
      <c r="F115" s="22" t="s">
        <v>355</v>
      </c>
      <c r="G115" s="15" t="s">
        <v>356</v>
      </c>
      <c r="H115" s="13" t="s">
        <v>24</v>
      </c>
      <c r="I115" s="11" t="s">
        <v>36</v>
      </c>
      <c r="J115" s="11" t="s">
        <v>26</v>
      </c>
      <c r="K115" s="12" t="s">
        <v>27</v>
      </c>
      <c r="L115" s="12"/>
      <c r="M115" s="23" t="s">
        <v>44</v>
      </c>
      <c r="N115" s="18">
        <v>45156</v>
      </c>
      <c r="O115" s="19" t="e">
        <f>#REF!-N115</f>
        <v>#REF!</v>
      </c>
      <c r="P115" s="20" t="e">
        <f t="shared" si="2"/>
        <v>#REF!</v>
      </c>
      <c r="R115" s="36"/>
      <c r="S115" s="36"/>
      <c r="T115" s="21" t="s">
        <v>30</v>
      </c>
    </row>
    <row r="116" spans="1:20" x14ac:dyDescent="0.25">
      <c r="A116" s="9">
        <v>115</v>
      </c>
      <c r="B116" s="10" t="s">
        <v>65</v>
      </c>
      <c r="C116" s="11"/>
      <c r="D116" s="12"/>
      <c r="E116" s="13" t="s">
        <v>21</v>
      </c>
      <c r="F116" s="11" t="s">
        <v>357</v>
      </c>
      <c r="G116" s="15" t="s">
        <v>358</v>
      </c>
      <c r="H116" s="13" t="s">
        <v>24</v>
      </c>
      <c r="I116" s="11" t="s">
        <v>36</v>
      </c>
      <c r="J116" s="11" t="s">
        <v>26</v>
      </c>
      <c r="K116" s="12" t="s">
        <v>359</v>
      </c>
      <c r="L116" s="12"/>
      <c r="M116" s="12"/>
      <c r="N116" s="18">
        <v>42676</v>
      </c>
      <c r="O116" s="19" t="e">
        <f>#REF!-N116</f>
        <v>#REF!</v>
      </c>
      <c r="P116" s="20" t="e">
        <f t="shared" si="2"/>
        <v>#REF!</v>
      </c>
      <c r="R116" s="20"/>
      <c r="S116" s="20"/>
      <c r="T116" s="21" t="e">
        <v>#N/A</v>
      </c>
    </row>
    <row r="117" spans="1:20" x14ac:dyDescent="0.25">
      <c r="A117" s="9">
        <v>116</v>
      </c>
      <c r="B117" s="10" t="s">
        <v>51</v>
      </c>
      <c r="C117" s="11" t="s">
        <v>52</v>
      </c>
      <c r="D117" s="12"/>
      <c r="E117" s="13" t="s">
        <v>21</v>
      </c>
      <c r="F117" s="11" t="s">
        <v>360</v>
      </c>
      <c r="G117" s="15" t="s">
        <v>361</v>
      </c>
      <c r="H117" s="13" t="s">
        <v>24</v>
      </c>
      <c r="I117" s="11" t="s">
        <v>362</v>
      </c>
      <c r="J117" s="11" t="s">
        <v>61</v>
      </c>
      <c r="K117" s="12" t="s">
        <v>56</v>
      </c>
      <c r="L117" s="13" t="s">
        <v>57</v>
      </c>
      <c r="M117" s="12"/>
      <c r="N117" s="18">
        <v>45231</v>
      </c>
      <c r="O117" s="19" t="e">
        <f>#REF!-N117</f>
        <v>#REF!</v>
      </c>
      <c r="P117" s="20" t="e">
        <f t="shared" si="2"/>
        <v>#REF!</v>
      </c>
      <c r="R117" s="20"/>
      <c r="S117" s="20"/>
      <c r="T117" s="21" t="e">
        <v>#N/A</v>
      </c>
    </row>
    <row r="118" spans="1:20" x14ac:dyDescent="0.25">
      <c r="A118" s="9">
        <v>117</v>
      </c>
      <c r="B118" s="10" t="s">
        <v>121</v>
      </c>
      <c r="C118" s="11" t="s">
        <v>122</v>
      </c>
      <c r="D118" s="12"/>
      <c r="E118" s="13" t="s">
        <v>21</v>
      </c>
      <c r="F118" s="22" t="s">
        <v>363</v>
      </c>
      <c r="G118" s="15" t="s">
        <v>364</v>
      </c>
      <c r="H118" s="13" t="s">
        <v>24</v>
      </c>
      <c r="I118" s="11" t="s">
        <v>36</v>
      </c>
      <c r="J118" s="11" t="s">
        <v>26</v>
      </c>
      <c r="K118" s="23" t="s">
        <v>27</v>
      </c>
      <c r="L118" s="12"/>
      <c r="M118" s="12" t="s">
        <v>125</v>
      </c>
      <c r="N118" s="18">
        <v>45796</v>
      </c>
      <c r="O118" s="19" t="e">
        <f>#REF!-N118</f>
        <v>#REF!</v>
      </c>
      <c r="P118" s="20" t="e">
        <f t="shared" si="2"/>
        <v>#REF!</v>
      </c>
      <c r="R118" s="35" t="s">
        <v>29</v>
      </c>
      <c r="S118" s="35" t="s">
        <v>29</v>
      </c>
      <c r="T118" s="21" t="s">
        <v>30</v>
      </c>
    </row>
    <row r="119" spans="1:20" x14ac:dyDescent="0.25">
      <c r="A119" s="9">
        <v>118</v>
      </c>
      <c r="B119" s="10" t="s">
        <v>58</v>
      </c>
      <c r="C119" s="11" t="s">
        <v>72</v>
      </c>
      <c r="D119" s="12"/>
      <c r="E119" s="13" t="s">
        <v>21</v>
      </c>
      <c r="F119" s="22" t="s">
        <v>365</v>
      </c>
      <c r="G119" s="15" t="s">
        <v>366</v>
      </c>
      <c r="H119" s="13" t="s">
        <v>24</v>
      </c>
      <c r="I119" s="16" t="s">
        <v>25</v>
      </c>
      <c r="J119" s="16" t="s">
        <v>61</v>
      </c>
      <c r="K119" s="12" t="s">
        <v>367</v>
      </c>
      <c r="L119" s="12"/>
      <c r="M119" s="23"/>
      <c r="N119" s="18">
        <v>45839</v>
      </c>
      <c r="O119" s="19" t="e">
        <f>#REF!-N119</f>
        <v>#REF!</v>
      </c>
      <c r="P119" s="20" t="e">
        <f t="shared" si="2"/>
        <v>#REF!</v>
      </c>
      <c r="R119" s="20"/>
      <c r="S119" s="20"/>
      <c r="T119" s="21" t="e">
        <v>#N/A</v>
      </c>
    </row>
    <row r="120" spans="1:20" x14ac:dyDescent="0.25">
      <c r="A120" s="9">
        <v>119</v>
      </c>
      <c r="B120" s="10" t="s">
        <v>58</v>
      </c>
      <c r="C120" s="11" t="s">
        <v>117</v>
      </c>
      <c r="D120" s="12"/>
      <c r="E120" s="13" t="s">
        <v>21</v>
      </c>
      <c r="F120" s="22" t="s">
        <v>368</v>
      </c>
      <c r="G120" s="15" t="s">
        <v>369</v>
      </c>
      <c r="H120" s="13" t="s">
        <v>24</v>
      </c>
      <c r="I120" s="11" t="s">
        <v>55</v>
      </c>
      <c r="J120" s="11" t="s">
        <v>26</v>
      </c>
      <c r="K120" s="12" t="s">
        <v>120</v>
      </c>
      <c r="L120" s="12"/>
      <c r="M120" s="23"/>
      <c r="N120" s="18">
        <v>45518</v>
      </c>
      <c r="O120" s="19" t="e">
        <f>#REF!-N120</f>
        <v>#REF!</v>
      </c>
      <c r="P120" s="20" t="e">
        <f t="shared" si="2"/>
        <v>#REF!</v>
      </c>
      <c r="R120" s="20"/>
      <c r="S120" s="20"/>
      <c r="T120" s="21" t="e">
        <v>#N/A</v>
      </c>
    </row>
    <row r="121" spans="1:20" x14ac:dyDescent="0.25">
      <c r="A121" s="9">
        <v>120</v>
      </c>
      <c r="B121" s="10" t="s">
        <v>58</v>
      </c>
      <c r="C121" s="11" t="s">
        <v>370</v>
      </c>
      <c r="D121" s="12"/>
      <c r="E121" s="13" t="s">
        <v>21</v>
      </c>
      <c r="F121" s="26" t="s">
        <v>371</v>
      </c>
      <c r="G121" s="15" t="s">
        <v>372</v>
      </c>
      <c r="H121" s="31" t="s">
        <v>24</v>
      </c>
      <c r="I121" s="16" t="s">
        <v>36</v>
      </c>
      <c r="J121" s="16" t="s">
        <v>26</v>
      </c>
      <c r="K121" s="12" t="s">
        <v>373</v>
      </c>
      <c r="L121" s="12"/>
      <c r="M121" s="23"/>
      <c r="N121" s="18">
        <v>44959</v>
      </c>
      <c r="O121" s="19" t="e">
        <f>#REF!-N121</f>
        <v>#REF!</v>
      </c>
      <c r="P121" s="20" t="e">
        <f t="shared" si="2"/>
        <v>#REF!</v>
      </c>
      <c r="R121" s="20"/>
      <c r="S121" s="20"/>
      <c r="T121" s="21" t="e">
        <v>#N/A</v>
      </c>
    </row>
    <row r="122" spans="1:20" x14ac:dyDescent="0.25">
      <c r="A122" s="9">
        <v>121</v>
      </c>
      <c r="B122" s="10" t="s">
        <v>58</v>
      </c>
      <c r="C122" s="11" t="s">
        <v>374</v>
      </c>
      <c r="D122" s="12"/>
      <c r="E122" s="13" t="s">
        <v>21</v>
      </c>
      <c r="F122" s="22" t="s">
        <v>375</v>
      </c>
      <c r="G122" s="15" t="s">
        <v>376</v>
      </c>
      <c r="H122" s="13" t="s">
        <v>24</v>
      </c>
      <c r="I122" s="11" t="s">
        <v>36</v>
      </c>
      <c r="J122" s="11" t="s">
        <v>61</v>
      </c>
      <c r="K122" s="12" t="s">
        <v>377</v>
      </c>
      <c r="L122" s="12"/>
      <c r="M122" s="23"/>
      <c r="N122" s="18">
        <v>45307</v>
      </c>
      <c r="O122" s="19" t="e">
        <f>#REF!-N122</f>
        <v>#REF!</v>
      </c>
      <c r="P122" s="20" t="e">
        <f t="shared" si="2"/>
        <v>#REF!</v>
      </c>
      <c r="R122" s="20"/>
      <c r="S122" s="20"/>
      <c r="T122" s="21" t="e">
        <v>#N/A</v>
      </c>
    </row>
    <row r="123" spans="1:20" x14ac:dyDescent="0.25">
      <c r="A123" s="9">
        <v>122</v>
      </c>
      <c r="B123" s="10" t="s">
        <v>65</v>
      </c>
      <c r="C123" s="11"/>
      <c r="D123" s="12"/>
      <c r="E123" s="13" t="s">
        <v>21</v>
      </c>
      <c r="F123" s="11" t="s">
        <v>378</v>
      </c>
      <c r="G123" s="15" t="s">
        <v>379</v>
      </c>
      <c r="H123" s="13" t="s">
        <v>24</v>
      </c>
      <c r="I123" s="11" t="s">
        <v>36</v>
      </c>
      <c r="J123" s="11" t="s">
        <v>26</v>
      </c>
      <c r="K123" s="12" t="s">
        <v>380</v>
      </c>
      <c r="L123" s="12"/>
      <c r="M123" s="12"/>
      <c r="N123" s="18">
        <v>45139</v>
      </c>
      <c r="O123" s="19" t="e">
        <f>#REF!-N123</f>
        <v>#REF!</v>
      </c>
      <c r="P123" s="20" t="e">
        <f t="shared" si="2"/>
        <v>#REF!</v>
      </c>
      <c r="R123" s="20"/>
      <c r="S123" s="20"/>
      <c r="T123" s="21" t="e">
        <v>#N/A</v>
      </c>
    </row>
    <row r="124" spans="1:20" x14ac:dyDescent="0.25">
      <c r="A124" s="9">
        <v>123</v>
      </c>
      <c r="B124" s="40" t="s">
        <v>240</v>
      </c>
      <c r="C124" s="11"/>
      <c r="D124" s="12"/>
      <c r="E124" s="33" t="s">
        <v>21</v>
      </c>
      <c r="F124" s="14" t="s">
        <v>381</v>
      </c>
      <c r="G124" s="15" t="s">
        <v>382</v>
      </c>
      <c r="H124" s="13" t="s">
        <v>24</v>
      </c>
      <c r="I124" s="11" t="s">
        <v>36</v>
      </c>
      <c r="J124" s="11" t="s">
        <v>61</v>
      </c>
      <c r="K124" s="12" t="s">
        <v>132</v>
      </c>
      <c r="L124" s="12"/>
      <c r="M124" s="17" t="s">
        <v>244</v>
      </c>
      <c r="N124" s="18">
        <v>45637</v>
      </c>
      <c r="O124" s="19" t="e">
        <f>#REF!-N124</f>
        <v>#REF!</v>
      </c>
      <c r="P124" s="20" t="e">
        <f t="shared" si="2"/>
        <v>#REF!</v>
      </c>
      <c r="R124" s="35" t="s">
        <v>29</v>
      </c>
      <c r="S124" s="35" t="s">
        <v>29</v>
      </c>
      <c r="T124" s="21" t="s">
        <v>30</v>
      </c>
    </row>
    <row r="125" spans="1:20" x14ac:dyDescent="0.25">
      <c r="A125" s="9">
        <v>124</v>
      </c>
      <c r="B125" s="10" t="s">
        <v>65</v>
      </c>
      <c r="C125" s="11" t="s">
        <v>383</v>
      </c>
      <c r="D125" s="12"/>
      <c r="E125" s="13" t="s">
        <v>21</v>
      </c>
      <c r="F125" s="11" t="s">
        <v>384</v>
      </c>
      <c r="G125" s="15" t="s">
        <v>385</v>
      </c>
      <c r="H125" s="13" t="s">
        <v>24</v>
      </c>
      <c r="I125" s="11" t="s">
        <v>36</v>
      </c>
      <c r="J125" s="11" t="s">
        <v>26</v>
      </c>
      <c r="K125" s="12" t="s">
        <v>253</v>
      </c>
      <c r="L125" s="12"/>
      <c r="M125" s="12"/>
      <c r="N125" s="18">
        <v>45444</v>
      </c>
      <c r="O125" s="19" t="e">
        <f>#REF!-N125</f>
        <v>#REF!</v>
      </c>
      <c r="P125" s="20" t="e">
        <f t="shared" si="2"/>
        <v>#REF!</v>
      </c>
      <c r="R125" s="20"/>
      <c r="S125" s="20"/>
      <c r="T125" s="21" t="e">
        <v>#N/A</v>
      </c>
    </row>
    <row r="126" spans="1:20" x14ac:dyDescent="0.25">
      <c r="A126" s="9">
        <v>125</v>
      </c>
      <c r="B126" s="10" t="s">
        <v>19</v>
      </c>
      <c r="C126" s="11" t="s">
        <v>20</v>
      </c>
      <c r="D126" s="12"/>
      <c r="E126" s="13" t="s">
        <v>21</v>
      </c>
      <c r="F126" s="14" t="s">
        <v>386</v>
      </c>
      <c r="G126" s="15" t="s">
        <v>387</v>
      </c>
      <c r="H126" s="13" t="s">
        <v>24</v>
      </c>
      <c r="I126" s="16" t="s">
        <v>55</v>
      </c>
      <c r="J126" s="11" t="s">
        <v>26</v>
      </c>
      <c r="K126" s="12" t="s">
        <v>27</v>
      </c>
      <c r="L126" s="12"/>
      <c r="M126" s="17" t="s">
        <v>28</v>
      </c>
      <c r="N126" s="18">
        <v>45553</v>
      </c>
      <c r="O126" s="19" t="e">
        <f>#REF!-N126</f>
        <v>#REF!</v>
      </c>
      <c r="P126" s="20" t="e">
        <f t="shared" si="2"/>
        <v>#REF!</v>
      </c>
      <c r="R126" s="35" t="s">
        <v>29</v>
      </c>
      <c r="S126" s="35" t="s">
        <v>29</v>
      </c>
      <c r="T126" s="21" t="s">
        <v>30</v>
      </c>
    </row>
    <row r="127" spans="1:20" x14ac:dyDescent="0.25">
      <c r="A127" s="9">
        <v>126</v>
      </c>
      <c r="B127" s="10" t="s">
        <v>40</v>
      </c>
      <c r="C127" s="11" t="s">
        <v>41</v>
      </c>
      <c r="D127" s="12"/>
      <c r="E127" s="13" t="s">
        <v>21</v>
      </c>
      <c r="F127" s="22" t="s">
        <v>388</v>
      </c>
      <c r="G127" s="15" t="s">
        <v>389</v>
      </c>
      <c r="H127" s="13" t="s">
        <v>35</v>
      </c>
      <c r="I127" s="11" t="s">
        <v>36</v>
      </c>
      <c r="J127" s="11" t="s">
        <v>26</v>
      </c>
      <c r="K127" s="12" t="s">
        <v>27</v>
      </c>
      <c r="L127" s="12"/>
      <c r="M127" s="23" t="s">
        <v>44</v>
      </c>
      <c r="N127" s="18">
        <v>45078</v>
      </c>
      <c r="O127" s="19" t="e">
        <f>#REF!-N127</f>
        <v>#REF!</v>
      </c>
      <c r="P127" s="20" t="e">
        <f t="shared" si="2"/>
        <v>#REF!</v>
      </c>
      <c r="R127" s="36"/>
      <c r="S127" s="36"/>
      <c r="T127" s="21" t="s">
        <v>30</v>
      </c>
    </row>
    <row r="128" spans="1:20" x14ac:dyDescent="0.25">
      <c r="A128" s="9">
        <v>127</v>
      </c>
      <c r="B128" s="10" t="s">
        <v>19</v>
      </c>
      <c r="C128" s="11" t="s">
        <v>20</v>
      </c>
      <c r="D128" s="12"/>
      <c r="E128" s="13" t="s">
        <v>21</v>
      </c>
      <c r="F128" s="14" t="s">
        <v>390</v>
      </c>
      <c r="G128" s="15" t="s">
        <v>391</v>
      </c>
      <c r="H128" s="13" t="s">
        <v>24</v>
      </c>
      <c r="I128" s="16" t="s">
        <v>25</v>
      </c>
      <c r="J128" s="11" t="s">
        <v>26</v>
      </c>
      <c r="K128" s="12" t="s">
        <v>27</v>
      </c>
      <c r="L128" s="12"/>
      <c r="M128" s="17" t="s">
        <v>28</v>
      </c>
      <c r="N128" s="18">
        <v>45809</v>
      </c>
      <c r="O128" s="19" t="e">
        <f>#REF!-N128</f>
        <v>#REF!</v>
      </c>
      <c r="P128" s="20" t="e">
        <f t="shared" si="2"/>
        <v>#REF!</v>
      </c>
      <c r="R128" s="36"/>
      <c r="S128" s="36"/>
      <c r="T128" s="21" t="s">
        <v>30</v>
      </c>
    </row>
    <row r="129" spans="1:20" x14ac:dyDescent="0.25">
      <c r="A129" s="9">
        <v>128</v>
      </c>
      <c r="B129" s="10" t="s">
        <v>165</v>
      </c>
      <c r="C129" s="11" t="s">
        <v>392</v>
      </c>
      <c r="D129" s="12"/>
      <c r="E129" s="13" t="s">
        <v>21</v>
      </c>
      <c r="F129" s="22" t="s">
        <v>393</v>
      </c>
      <c r="G129" s="15" t="s">
        <v>394</v>
      </c>
      <c r="H129" s="13" t="s">
        <v>24</v>
      </c>
      <c r="I129" s="11" t="s">
        <v>36</v>
      </c>
      <c r="J129" s="11" t="s">
        <v>26</v>
      </c>
      <c r="K129" s="12" t="s">
        <v>27</v>
      </c>
      <c r="L129" s="12"/>
      <c r="M129" s="23" t="s">
        <v>162</v>
      </c>
      <c r="N129" s="18">
        <v>45630</v>
      </c>
      <c r="O129" s="19" t="e">
        <f>#REF!-N129</f>
        <v>#REF!</v>
      </c>
      <c r="P129" s="20" t="e">
        <f t="shared" si="2"/>
        <v>#REF!</v>
      </c>
      <c r="R129" s="35" t="s">
        <v>29</v>
      </c>
      <c r="S129" s="35" t="s">
        <v>29</v>
      </c>
      <c r="T129" s="21" t="s">
        <v>30</v>
      </c>
    </row>
    <row r="130" spans="1:20" x14ac:dyDescent="0.25">
      <c r="A130" s="9">
        <v>129</v>
      </c>
      <c r="B130" s="10" t="s">
        <v>154</v>
      </c>
      <c r="C130" s="11" t="s">
        <v>52</v>
      </c>
      <c r="D130" s="37" t="s">
        <v>155</v>
      </c>
      <c r="E130" s="13" t="s">
        <v>21</v>
      </c>
      <c r="F130" s="11" t="s">
        <v>395</v>
      </c>
      <c r="G130" s="15" t="s">
        <v>396</v>
      </c>
      <c r="H130" s="13" t="s">
        <v>24</v>
      </c>
      <c r="I130" s="11" t="s">
        <v>55</v>
      </c>
      <c r="J130" s="11" t="s">
        <v>26</v>
      </c>
      <c r="K130" s="12" t="s">
        <v>56</v>
      </c>
      <c r="L130" s="12"/>
      <c r="M130" s="12"/>
      <c r="N130" s="18">
        <v>45352</v>
      </c>
      <c r="O130" s="19" t="e">
        <f>#REF!-N130</f>
        <v>#REF!</v>
      </c>
      <c r="P130" s="20" t="e">
        <f t="shared" si="2"/>
        <v>#REF!</v>
      </c>
      <c r="R130" s="20"/>
      <c r="S130" s="20"/>
      <c r="T130" s="21" t="e">
        <v>#N/A</v>
      </c>
    </row>
    <row r="131" spans="1:20" x14ac:dyDescent="0.25">
      <c r="A131" s="9">
        <v>130</v>
      </c>
      <c r="B131" s="10" t="s">
        <v>40</v>
      </c>
      <c r="C131" s="11" t="s">
        <v>41</v>
      </c>
      <c r="D131" s="12"/>
      <c r="E131" s="13" t="s">
        <v>21</v>
      </c>
      <c r="F131" s="14" t="s">
        <v>397</v>
      </c>
      <c r="G131" s="15" t="s">
        <v>398</v>
      </c>
      <c r="H131" s="13" t="s">
        <v>24</v>
      </c>
      <c r="I131" s="11" t="s">
        <v>55</v>
      </c>
      <c r="J131" s="11" t="s">
        <v>26</v>
      </c>
      <c r="K131" s="12" t="s">
        <v>27</v>
      </c>
      <c r="L131" s="12"/>
      <c r="M131" s="17" t="s">
        <v>71</v>
      </c>
      <c r="N131" s="18">
        <v>45551</v>
      </c>
      <c r="O131" s="19" t="e">
        <f>#REF!-N131</f>
        <v>#REF!</v>
      </c>
      <c r="P131" s="20" t="e">
        <f t="shared" si="2"/>
        <v>#REF!</v>
      </c>
      <c r="R131" s="36"/>
      <c r="S131" s="36"/>
      <c r="T131" s="21" t="s">
        <v>30</v>
      </c>
    </row>
    <row r="132" spans="1:20" x14ac:dyDescent="0.25">
      <c r="A132" s="9">
        <v>131</v>
      </c>
      <c r="B132" s="10" t="s">
        <v>121</v>
      </c>
      <c r="C132" s="11" t="s">
        <v>122</v>
      </c>
      <c r="D132" s="12"/>
      <c r="E132" s="13" t="s">
        <v>21</v>
      </c>
      <c r="F132" s="22" t="s">
        <v>399</v>
      </c>
      <c r="G132" s="15" t="s">
        <v>400</v>
      </c>
      <c r="H132" s="13" t="s">
        <v>24</v>
      </c>
      <c r="I132" s="11" t="s">
        <v>36</v>
      </c>
      <c r="J132" s="11" t="s">
        <v>26</v>
      </c>
      <c r="K132" s="23" t="s">
        <v>27</v>
      </c>
      <c r="L132" s="12"/>
      <c r="M132" s="12" t="s">
        <v>125</v>
      </c>
      <c r="N132" s="18">
        <v>44470</v>
      </c>
      <c r="O132" s="19" t="e">
        <f>#REF!-N132</f>
        <v>#REF!</v>
      </c>
      <c r="P132" s="20" t="e">
        <f t="shared" si="2"/>
        <v>#REF!</v>
      </c>
      <c r="R132" s="35" t="s">
        <v>29</v>
      </c>
      <c r="S132" s="36"/>
      <c r="T132" s="21" t="s">
        <v>30</v>
      </c>
    </row>
    <row r="133" spans="1:20" x14ac:dyDescent="0.25">
      <c r="A133" s="9">
        <v>132</v>
      </c>
      <c r="B133" s="10" t="s">
        <v>51</v>
      </c>
      <c r="C133" s="11" t="s">
        <v>52</v>
      </c>
      <c r="D133" s="12"/>
      <c r="E133" s="13" t="s">
        <v>21</v>
      </c>
      <c r="F133" s="11" t="s">
        <v>401</v>
      </c>
      <c r="G133" s="15" t="s">
        <v>402</v>
      </c>
      <c r="H133" s="13" t="s">
        <v>24</v>
      </c>
      <c r="I133" s="11" t="s">
        <v>55</v>
      </c>
      <c r="J133" s="11" t="s">
        <v>26</v>
      </c>
      <c r="K133" s="12" t="s">
        <v>403</v>
      </c>
      <c r="L133" s="13" t="s">
        <v>57</v>
      </c>
      <c r="M133" s="12"/>
      <c r="N133" s="18">
        <v>45444</v>
      </c>
      <c r="O133" s="19" t="e">
        <f>#REF!-N133</f>
        <v>#REF!</v>
      </c>
      <c r="P133" s="20" t="e">
        <f t="shared" si="2"/>
        <v>#REF!</v>
      </c>
      <c r="R133" s="20"/>
      <c r="S133" s="20"/>
      <c r="T133" s="21" t="e">
        <v>#N/A</v>
      </c>
    </row>
    <row r="134" spans="1:20" x14ac:dyDescent="0.25">
      <c r="A134" s="9">
        <v>133</v>
      </c>
      <c r="B134" s="10" t="s">
        <v>19</v>
      </c>
      <c r="C134" s="11" t="s">
        <v>20</v>
      </c>
      <c r="D134" s="12"/>
      <c r="E134" s="13" t="s">
        <v>21</v>
      </c>
      <c r="F134" s="14" t="s">
        <v>404</v>
      </c>
      <c r="G134" s="28" t="s">
        <v>405</v>
      </c>
      <c r="H134" s="29" t="s">
        <v>24</v>
      </c>
      <c r="I134" s="30" t="s">
        <v>25</v>
      </c>
      <c r="J134" s="11" t="s">
        <v>26</v>
      </c>
      <c r="K134" s="12" t="s">
        <v>27</v>
      </c>
      <c r="L134" s="12"/>
      <c r="M134" s="17" t="s">
        <v>28</v>
      </c>
      <c r="N134" s="18">
        <v>45854</v>
      </c>
      <c r="O134" s="19" t="e">
        <f>#REF!-N134</f>
        <v>#REF!</v>
      </c>
      <c r="P134" s="20" t="e">
        <f t="shared" si="2"/>
        <v>#REF!</v>
      </c>
      <c r="R134" s="35" t="s">
        <v>93</v>
      </c>
      <c r="S134" s="35" t="s">
        <v>93</v>
      </c>
      <c r="T134" s="21" t="s">
        <v>30</v>
      </c>
    </row>
    <row r="135" spans="1:20" x14ac:dyDescent="0.25">
      <c r="A135" s="9">
        <v>134</v>
      </c>
      <c r="B135" s="10" t="s">
        <v>58</v>
      </c>
      <c r="C135" s="11" t="s">
        <v>72</v>
      </c>
      <c r="D135" s="12"/>
      <c r="E135" s="13" t="s">
        <v>21</v>
      </c>
      <c r="F135" s="26" t="s">
        <v>406</v>
      </c>
      <c r="G135" s="15" t="s">
        <v>407</v>
      </c>
      <c r="H135" s="31" t="s">
        <v>24</v>
      </c>
      <c r="I135" s="16" t="s">
        <v>36</v>
      </c>
      <c r="J135" s="16" t="s">
        <v>26</v>
      </c>
      <c r="K135" s="12" t="s">
        <v>408</v>
      </c>
      <c r="L135" s="12"/>
      <c r="M135" s="23"/>
      <c r="N135" s="18">
        <v>45444</v>
      </c>
      <c r="O135" s="19" t="e">
        <f>#REF!-N135</f>
        <v>#REF!</v>
      </c>
      <c r="P135" s="20" t="e">
        <f t="shared" si="2"/>
        <v>#REF!</v>
      </c>
      <c r="R135" s="20"/>
      <c r="S135" s="20"/>
      <c r="T135" s="21" t="e">
        <v>#N/A</v>
      </c>
    </row>
    <row r="136" spans="1:20" x14ac:dyDescent="0.25">
      <c r="A136" s="9">
        <v>135</v>
      </c>
      <c r="B136" s="10" t="s">
        <v>58</v>
      </c>
      <c r="C136" s="11"/>
      <c r="D136" s="12"/>
      <c r="E136" s="13" t="s">
        <v>21</v>
      </c>
      <c r="F136" s="26" t="s">
        <v>409</v>
      </c>
      <c r="G136" s="15" t="s">
        <v>410</v>
      </c>
      <c r="H136" s="31" t="s">
        <v>24</v>
      </c>
      <c r="I136" s="11" t="s">
        <v>55</v>
      </c>
      <c r="J136" s="16" t="s">
        <v>26</v>
      </c>
      <c r="K136" s="12" t="s">
        <v>411</v>
      </c>
      <c r="L136" s="12"/>
      <c r="M136" s="23"/>
      <c r="N136" s="18">
        <v>45413</v>
      </c>
      <c r="O136" s="19" t="e">
        <f>#REF!-N136</f>
        <v>#REF!</v>
      </c>
      <c r="P136" s="20" t="e">
        <f t="shared" si="2"/>
        <v>#REF!</v>
      </c>
      <c r="R136" s="20"/>
      <c r="S136" s="20"/>
      <c r="T136" s="21" t="e">
        <v>#N/A</v>
      </c>
    </row>
    <row r="137" spans="1:20" x14ac:dyDescent="0.25">
      <c r="A137" s="9">
        <v>136</v>
      </c>
      <c r="B137" s="10" t="s">
        <v>40</v>
      </c>
      <c r="C137" s="11" t="s">
        <v>94</v>
      </c>
      <c r="D137" s="12"/>
      <c r="E137" s="13" t="s">
        <v>412</v>
      </c>
      <c r="F137" s="14" t="s">
        <v>413</v>
      </c>
      <c r="G137" s="15" t="s">
        <v>414</v>
      </c>
      <c r="H137" s="13" t="s">
        <v>24</v>
      </c>
      <c r="I137" s="11" t="s">
        <v>131</v>
      </c>
      <c r="J137" s="11" t="s">
        <v>26</v>
      </c>
      <c r="K137" s="12" t="s">
        <v>132</v>
      </c>
      <c r="L137" s="12"/>
      <c r="M137" s="17" t="s">
        <v>97</v>
      </c>
      <c r="N137" s="18">
        <v>45876</v>
      </c>
      <c r="O137" s="19" t="e">
        <f>#REF!-N137</f>
        <v>#REF!</v>
      </c>
      <c r="P137" s="20" t="e">
        <f t="shared" si="2"/>
        <v>#REF!</v>
      </c>
      <c r="R137" s="36"/>
      <c r="S137" s="36"/>
      <c r="T137" s="21" t="s">
        <v>30</v>
      </c>
    </row>
    <row r="138" spans="1:20" x14ac:dyDescent="0.25">
      <c r="A138" s="9">
        <v>137</v>
      </c>
      <c r="B138" s="10" t="s">
        <v>31</v>
      </c>
      <c r="C138" s="11" t="s">
        <v>193</v>
      </c>
      <c r="D138" s="12"/>
      <c r="E138" s="13" t="s">
        <v>21</v>
      </c>
      <c r="F138" s="22" t="s">
        <v>415</v>
      </c>
      <c r="G138" s="15" t="s">
        <v>416</v>
      </c>
      <c r="H138" s="13" t="s">
        <v>24</v>
      </c>
      <c r="I138" s="11" t="s">
        <v>36</v>
      </c>
      <c r="J138" s="11" t="s">
        <v>26</v>
      </c>
      <c r="K138" s="12" t="s">
        <v>27</v>
      </c>
      <c r="L138" s="12"/>
      <c r="M138" s="23" t="s">
        <v>162</v>
      </c>
      <c r="N138" s="18">
        <v>44531</v>
      </c>
      <c r="O138" s="19" t="e">
        <f>#REF!-N138</f>
        <v>#REF!</v>
      </c>
      <c r="P138" s="20" t="e">
        <f t="shared" si="2"/>
        <v>#REF!</v>
      </c>
      <c r="R138" s="35" t="s">
        <v>29</v>
      </c>
      <c r="S138" s="35" t="s">
        <v>29</v>
      </c>
      <c r="T138" s="21" t="s">
        <v>30</v>
      </c>
    </row>
    <row r="139" spans="1:20" x14ac:dyDescent="0.25">
      <c r="A139" s="9">
        <v>138</v>
      </c>
      <c r="B139" s="10" t="s">
        <v>40</v>
      </c>
      <c r="C139" s="11" t="s">
        <v>41</v>
      </c>
      <c r="D139" s="12"/>
      <c r="E139" s="13" t="s">
        <v>21</v>
      </c>
      <c r="F139" s="14" t="s">
        <v>417</v>
      </c>
      <c r="G139" s="15" t="s">
        <v>418</v>
      </c>
      <c r="H139" s="13" t="s">
        <v>24</v>
      </c>
      <c r="I139" s="16" t="s">
        <v>25</v>
      </c>
      <c r="J139" s="11" t="s">
        <v>26</v>
      </c>
      <c r="K139" s="12" t="s">
        <v>27</v>
      </c>
      <c r="L139" s="12"/>
      <c r="M139" s="17" t="s">
        <v>71</v>
      </c>
      <c r="N139" s="18">
        <v>45748</v>
      </c>
      <c r="O139" s="19" t="e">
        <f>#REF!-N139</f>
        <v>#REF!</v>
      </c>
      <c r="P139" s="20" t="e">
        <f t="shared" si="2"/>
        <v>#REF!</v>
      </c>
      <c r="R139" s="20"/>
      <c r="S139" s="20"/>
      <c r="T139" s="21" t="e">
        <v>#N/A</v>
      </c>
    </row>
    <row r="140" spans="1:20" x14ac:dyDescent="0.25">
      <c r="A140" s="9">
        <v>139</v>
      </c>
      <c r="B140" s="10" t="s">
        <v>40</v>
      </c>
      <c r="C140" s="11" t="s">
        <v>41</v>
      </c>
      <c r="D140" s="12"/>
      <c r="E140" s="13" t="s">
        <v>21</v>
      </c>
      <c r="F140" s="22" t="s">
        <v>419</v>
      </c>
      <c r="G140" s="15" t="s">
        <v>420</v>
      </c>
      <c r="H140" s="13" t="s">
        <v>24</v>
      </c>
      <c r="I140" s="11" t="s">
        <v>36</v>
      </c>
      <c r="J140" s="11" t="s">
        <v>26</v>
      </c>
      <c r="K140" s="12" t="s">
        <v>27</v>
      </c>
      <c r="L140" s="12"/>
      <c r="M140" s="23" t="s">
        <v>44</v>
      </c>
      <c r="N140" s="18">
        <v>45733</v>
      </c>
      <c r="O140" s="19" t="e">
        <f>#REF!-N140</f>
        <v>#REF!</v>
      </c>
      <c r="P140" s="20" t="e">
        <f t="shared" si="2"/>
        <v>#REF!</v>
      </c>
      <c r="R140" s="35" t="s">
        <v>29</v>
      </c>
      <c r="S140" s="35" t="s">
        <v>29</v>
      </c>
      <c r="T140" s="21" t="s">
        <v>30</v>
      </c>
    </row>
    <row r="141" spans="1:20" x14ac:dyDescent="0.25">
      <c r="A141" s="9">
        <v>140</v>
      </c>
      <c r="B141" s="10" t="s">
        <v>40</v>
      </c>
      <c r="C141" s="11" t="s">
        <v>41</v>
      </c>
      <c r="D141" s="12"/>
      <c r="E141" s="13" t="s">
        <v>21</v>
      </c>
      <c r="F141" s="22" t="s">
        <v>421</v>
      </c>
      <c r="G141" s="15" t="s">
        <v>422</v>
      </c>
      <c r="H141" s="13" t="s">
        <v>24</v>
      </c>
      <c r="I141" s="11" t="s">
        <v>36</v>
      </c>
      <c r="J141" s="11" t="s">
        <v>26</v>
      </c>
      <c r="K141" s="12" t="s">
        <v>27</v>
      </c>
      <c r="L141" s="12"/>
      <c r="M141" s="23" t="s">
        <v>44</v>
      </c>
      <c r="N141" s="18">
        <v>45383</v>
      </c>
      <c r="O141" s="19" t="e">
        <f>#REF!-N141</f>
        <v>#REF!</v>
      </c>
      <c r="P141" s="20" t="e">
        <f t="shared" si="2"/>
        <v>#REF!</v>
      </c>
      <c r="R141" s="35" t="s">
        <v>29</v>
      </c>
      <c r="S141" s="35" t="s">
        <v>29</v>
      </c>
      <c r="T141" s="21" t="s">
        <v>30</v>
      </c>
    </row>
    <row r="142" spans="1:20" x14ac:dyDescent="0.25">
      <c r="A142" s="9">
        <v>141</v>
      </c>
      <c r="B142" s="10" t="s">
        <v>19</v>
      </c>
      <c r="C142" s="11" t="s">
        <v>109</v>
      </c>
      <c r="D142" s="12" t="s">
        <v>146</v>
      </c>
      <c r="E142" s="13" t="s">
        <v>21</v>
      </c>
      <c r="F142" s="14" t="s">
        <v>423</v>
      </c>
      <c r="G142" s="15" t="s">
        <v>424</v>
      </c>
      <c r="H142" s="13" t="s">
        <v>24</v>
      </c>
      <c r="I142" s="16" t="s">
        <v>25</v>
      </c>
      <c r="J142" s="11" t="s">
        <v>26</v>
      </c>
      <c r="K142" s="12" t="s">
        <v>27</v>
      </c>
      <c r="L142" s="12"/>
      <c r="M142" s="17" t="s">
        <v>113</v>
      </c>
      <c r="N142" s="18">
        <v>45778</v>
      </c>
      <c r="O142" s="19" t="e">
        <f>#REF!-N142</f>
        <v>#REF!</v>
      </c>
      <c r="P142" s="20" t="e">
        <f t="shared" si="2"/>
        <v>#REF!</v>
      </c>
      <c r="R142" s="35" t="s">
        <v>29</v>
      </c>
      <c r="S142" s="35" t="s">
        <v>29</v>
      </c>
      <c r="T142" s="21" t="s">
        <v>30</v>
      </c>
    </row>
    <row r="143" spans="1:20" x14ac:dyDescent="0.25">
      <c r="A143" s="9">
        <v>142</v>
      </c>
      <c r="B143" s="10" t="s">
        <v>19</v>
      </c>
      <c r="C143" s="11" t="s">
        <v>20</v>
      </c>
      <c r="D143" s="12"/>
      <c r="E143" s="13" t="s">
        <v>21</v>
      </c>
      <c r="F143" s="14" t="s">
        <v>425</v>
      </c>
      <c r="G143" s="15" t="s">
        <v>426</v>
      </c>
      <c r="H143" s="13" t="s">
        <v>24</v>
      </c>
      <c r="I143" s="16" t="s">
        <v>25</v>
      </c>
      <c r="J143" s="11" t="s">
        <v>26</v>
      </c>
      <c r="K143" s="12" t="s">
        <v>27</v>
      </c>
      <c r="L143" s="12"/>
      <c r="M143" s="17" t="s">
        <v>28</v>
      </c>
      <c r="N143" s="18">
        <v>45827</v>
      </c>
      <c r="O143" s="19" t="e">
        <f>#REF!-N143</f>
        <v>#REF!</v>
      </c>
      <c r="P143" s="20" t="e">
        <f t="shared" si="2"/>
        <v>#REF!</v>
      </c>
      <c r="R143" s="35" t="s">
        <v>93</v>
      </c>
      <c r="S143" s="35" t="s">
        <v>93</v>
      </c>
      <c r="T143" s="21" t="s">
        <v>30</v>
      </c>
    </row>
    <row r="144" spans="1:20" x14ac:dyDescent="0.25">
      <c r="A144" s="9">
        <v>143</v>
      </c>
      <c r="B144" s="10" t="s">
        <v>121</v>
      </c>
      <c r="C144" s="11" t="s">
        <v>122</v>
      </c>
      <c r="D144" s="12"/>
      <c r="E144" s="13" t="s">
        <v>21</v>
      </c>
      <c r="F144" s="22" t="s">
        <v>427</v>
      </c>
      <c r="G144" s="15" t="s">
        <v>428</v>
      </c>
      <c r="H144" s="13" t="s">
        <v>24</v>
      </c>
      <c r="I144" s="11" t="s">
        <v>36</v>
      </c>
      <c r="J144" s="11" t="s">
        <v>26</v>
      </c>
      <c r="K144" s="23" t="s">
        <v>27</v>
      </c>
      <c r="L144" s="12"/>
      <c r="M144" s="12" t="s">
        <v>125</v>
      </c>
      <c r="N144" s="18">
        <v>45536</v>
      </c>
      <c r="O144" s="19" t="e">
        <f>#REF!-N144</f>
        <v>#REF!</v>
      </c>
      <c r="P144" s="20" t="e">
        <f t="shared" si="2"/>
        <v>#REF!</v>
      </c>
      <c r="R144" s="36"/>
      <c r="S144" s="36"/>
      <c r="T144" s="21" t="s">
        <v>30</v>
      </c>
    </row>
    <row r="145" spans="1:20" x14ac:dyDescent="0.25">
      <c r="A145" s="9">
        <v>144</v>
      </c>
      <c r="B145" s="10" t="s">
        <v>45</v>
      </c>
      <c r="C145" s="11" t="s">
        <v>41</v>
      </c>
      <c r="D145" s="12"/>
      <c r="E145" s="13" t="s">
        <v>21</v>
      </c>
      <c r="F145" s="22" t="s">
        <v>429</v>
      </c>
      <c r="G145" s="15" t="s">
        <v>430</v>
      </c>
      <c r="H145" s="13" t="s">
        <v>24</v>
      </c>
      <c r="I145" s="11" t="s">
        <v>36</v>
      </c>
      <c r="J145" s="11" t="s">
        <v>26</v>
      </c>
      <c r="K145" s="12" t="s">
        <v>27</v>
      </c>
      <c r="L145" s="12"/>
      <c r="M145" s="23" t="s">
        <v>48</v>
      </c>
      <c r="N145" s="18">
        <v>45784</v>
      </c>
      <c r="O145" s="19" t="e">
        <f>#REF!-N145</f>
        <v>#REF!</v>
      </c>
      <c r="P145" s="20" t="e">
        <f t="shared" si="2"/>
        <v>#REF!</v>
      </c>
      <c r="R145" s="35" t="s">
        <v>29</v>
      </c>
      <c r="S145" s="35" t="s">
        <v>29</v>
      </c>
      <c r="T145" s="21" t="s">
        <v>30</v>
      </c>
    </row>
    <row r="146" spans="1:20" x14ac:dyDescent="0.25">
      <c r="A146" s="9">
        <v>145</v>
      </c>
      <c r="B146" s="10" t="s">
        <v>40</v>
      </c>
      <c r="C146" s="11" t="s">
        <v>41</v>
      </c>
      <c r="D146" s="12"/>
      <c r="E146" s="13" t="s">
        <v>21</v>
      </c>
      <c r="F146" s="22" t="s">
        <v>431</v>
      </c>
      <c r="G146" s="15" t="s">
        <v>432</v>
      </c>
      <c r="H146" s="13" t="s">
        <v>35</v>
      </c>
      <c r="I146" s="11" t="s">
        <v>36</v>
      </c>
      <c r="J146" s="11" t="s">
        <v>26</v>
      </c>
      <c r="K146" s="12" t="s">
        <v>27</v>
      </c>
      <c r="L146" s="12"/>
      <c r="M146" s="23" t="s">
        <v>44</v>
      </c>
      <c r="N146" s="18">
        <v>45170</v>
      </c>
      <c r="O146" s="19" t="e">
        <f>#REF!-N146</f>
        <v>#REF!</v>
      </c>
      <c r="P146" s="20" t="e">
        <f t="shared" si="2"/>
        <v>#REF!</v>
      </c>
      <c r="R146" s="36"/>
      <c r="S146" s="36"/>
      <c r="T146" s="21" t="s">
        <v>30</v>
      </c>
    </row>
    <row r="147" spans="1:20" x14ac:dyDescent="0.25">
      <c r="A147" s="9">
        <v>146</v>
      </c>
      <c r="B147" s="10" t="s">
        <v>433</v>
      </c>
      <c r="C147" s="11"/>
      <c r="D147" s="12"/>
      <c r="E147" s="13" t="s">
        <v>21</v>
      </c>
      <c r="F147" s="22" t="s">
        <v>434</v>
      </c>
      <c r="G147" s="15" t="s">
        <v>435</v>
      </c>
      <c r="H147" s="13" t="s">
        <v>24</v>
      </c>
      <c r="I147" s="11" t="s">
        <v>36</v>
      </c>
      <c r="J147" s="11" t="s">
        <v>26</v>
      </c>
      <c r="K147" s="12" t="s">
        <v>27</v>
      </c>
      <c r="L147" s="12"/>
      <c r="M147" s="23" t="s">
        <v>162</v>
      </c>
      <c r="N147" s="18">
        <v>45453</v>
      </c>
      <c r="O147" s="19" t="e">
        <f>#REF!-N147</f>
        <v>#REF!</v>
      </c>
      <c r="P147" s="20" t="e">
        <f t="shared" si="2"/>
        <v>#REF!</v>
      </c>
      <c r="R147" s="36"/>
      <c r="S147" s="36"/>
      <c r="T147" s="21" t="s">
        <v>30</v>
      </c>
    </row>
    <row r="148" spans="1:20" x14ac:dyDescent="0.25">
      <c r="A148" s="9">
        <v>147</v>
      </c>
      <c r="B148" s="10" t="s">
        <v>58</v>
      </c>
      <c r="C148" s="11"/>
      <c r="D148" s="12"/>
      <c r="E148" s="13" t="s">
        <v>21</v>
      </c>
      <c r="F148" s="22" t="s">
        <v>436</v>
      </c>
      <c r="G148" s="15" t="s">
        <v>437</v>
      </c>
      <c r="H148" s="13" t="s">
        <v>24</v>
      </c>
      <c r="I148" s="11" t="s">
        <v>55</v>
      </c>
      <c r="J148" s="11" t="s">
        <v>26</v>
      </c>
      <c r="K148" s="12" t="s">
        <v>438</v>
      </c>
      <c r="L148" s="12"/>
      <c r="M148" s="23"/>
      <c r="N148" s="18">
        <v>45778</v>
      </c>
      <c r="O148" s="19" t="e">
        <f>#REF!-N148</f>
        <v>#REF!</v>
      </c>
      <c r="P148" s="20" t="e">
        <f t="shared" si="2"/>
        <v>#REF!</v>
      </c>
      <c r="R148" s="42"/>
      <c r="S148" s="42"/>
      <c r="T148" s="21" t="e">
        <v>#N/A</v>
      </c>
    </row>
    <row r="149" spans="1:20" x14ac:dyDescent="0.25">
      <c r="A149" s="9">
        <v>148</v>
      </c>
      <c r="B149" s="10" t="s">
        <v>31</v>
      </c>
      <c r="C149" s="11" t="s">
        <v>439</v>
      </c>
      <c r="D149" s="12"/>
      <c r="E149" s="13" t="s">
        <v>21</v>
      </c>
      <c r="F149" s="22" t="s">
        <v>440</v>
      </c>
      <c r="G149" s="15" t="s">
        <v>441</v>
      </c>
      <c r="H149" s="13" t="s">
        <v>24</v>
      </c>
      <c r="I149" s="11" t="s">
        <v>36</v>
      </c>
      <c r="J149" s="11" t="s">
        <v>26</v>
      </c>
      <c r="K149" s="12" t="s">
        <v>27</v>
      </c>
      <c r="L149" s="12"/>
      <c r="M149" s="23" t="s">
        <v>162</v>
      </c>
      <c r="N149" s="18">
        <v>45748</v>
      </c>
      <c r="O149" s="19" t="e">
        <f>#REF!-N149</f>
        <v>#REF!</v>
      </c>
      <c r="P149" s="20" t="e">
        <f t="shared" si="2"/>
        <v>#REF!</v>
      </c>
      <c r="R149" s="35" t="s">
        <v>29</v>
      </c>
      <c r="S149" s="35" t="s">
        <v>29</v>
      </c>
      <c r="T149" s="21" t="s">
        <v>30</v>
      </c>
    </row>
    <row r="150" spans="1:20" x14ac:dyDescent="0.25">
      <c r="A150" s="9">
        <v>149</v>
      </c>
      <c r="B150" s="10" t="s">
        <v>51</v>
      </c>
      <c r="C150" s="11" t="s">
        <v>52</v>
      </c>
      <c r="D150" s="12"/>
      <c r="E150" s="13" t="s">
        <v>21</v>
      </c>
      <c r="F150" s="11" t="s">
        <v>442</v>
      </c>
      <c r="G150" s="15" t="s">
        <v>443</v>
      </c>
      <c r="H150" s="13" t="s">
        <v>24</v>
      </c>
      <c r="I150" s="11" t="s">
        <v>444</v>
      </c>
      <c r="J150" s="11" t="s">
        <v>61</v>
      </c>
      <c r="K150" s="12" t="s">
        <v>56</v>
      </c>
      <c r="L150" s="13" t="s">
        <v>106</v>
      </c>
      <c r="M150" s="12"/>
      <c r="N150" s="18">
        <v>44198</v>
      </c>
      <c r="O150" s="19" t="e">
        <f>#REF!-N150</f>
        <v>#REF!</v>
      </c>
      <c r="P150" s="20" t="e">
        <f t="shared" si="2"/>
        <v>#REF!</v>
      </c>
      <c r="R150" s="42"/>
      <c r="S150" s="42"/>
      <c r="T150" s="21" t="e">
        <v>#N/A</v>
      </c>
    </row>
    <row r="151" spans="1:20" x14ac:dyDescent="0.25">
      <c r="A151" s="9">
        <v>150</v>
      </c>
      <c r="B151" s="10" t="s">
        <v>65</v>
      </c>
      <c r="C151" s="11" t="s">
        <v>445</v>
      </c>
      <c r="D151" s="12"/>
      <c r="E151" s="13" t="s">
        <v>21</v>
      </c>
      <c r="F151" s="11" t="s">
        <v>446</v>
      </c>
      <c r="G151" s="15" t="s">
        <v>447</v>
      </c>
      <c r="H151" s="13" t="s">
        <v>24</v>
      </c>
      <c r="I151" s="11" t="s">
        <v>55</v>
      </c>
      <c r="J151" s="11" t="s">
        <v>26</v>
      </c>
      <c r="K151" s="12" t="s">
        <v>448</v>
      </c>
      <c r="L151" s="12"/>
      <c r="M151" s="12"/>
      <c r="N151" s="18">
        <v>45789</v>
      </c>
      <c r="O151" s="19" t="e">
        <f>#REF!-N151</f>
        <v>#REF!</v>
      </c>
      <c r="P151" s="20" t="e">
        <f t="shared" si="2"/>
        <v>#REF!</v>
      </c>
      <c r="R151" s="42"/>
      <c r="S151" s="42"/>
      <c r="T151" s="21" t="e">
        <v>#N/A</v>
      </c>
    </row>
    <row r="152" spans="1:20" x14ac:dyDescent="0.25">
      <c r="A152" s="9">
        <v>151</v>
      </c>
      <c r="B152" s="10" t="s">
        <v>154</v>
      </c>
      <c r="C152" s="11" t="s">
        <v>52</v>
      </c>
      <c r="D152" s="37" t="s">
        <v>155</v>
      </c>
      <c r="E152" s="13" t="s">
        <v>21</v>
      </c>
      <c r="F152" s="11" t="s">
        <v>449</v>
      </c>
      <c r="G152" s="15" t="s">
        <v>450</v>
      </c>
      <c r="H152" s="13" t="s">
        <v>24</v>
      </c>
      <c r="I152" s="11" t="s">
        <v>55</v>
      </c>
      <c r="J152" s="11" t="s">
        <v>26</v>
      </c>
      <c r="K152" s="12" t="s">
        <v>56</v>
      </c>
      <c r="L152" s="12"/>
      <c r="M152" s="12"/>
      <c r="N152" s="18">
        <v>45720</v>
      </c>
      <c r="O152" s="19" t="e">
        <f>#REF!-N152</f>
        <v>#REF!</v>
      </c>
      <c r="P152" s="20" t="e">
        <f t="shared" si="2"/>
        <v>#REF!</v>
      </c>
      <c r="R152" s="42"/>
      <c r="S152" s="42"/>
      <c r="T152" s="21" t="e">
        <v>#N/A</v>
      </c>
    </row>
    <row r="153" spans="1:20" x14ac:dyDescent="0.25">
      <c r="A153" s="9">
        <v>152</v>
      </c>
      <c r="B153" s="10" t="s">
        <v>154</v>
      </c>
      <c r="C153" s="11" t="s">
        <v>52</v>
      </c>
      <c r="D153" s="37" t="s">
        <v>155</v>
      </c>
      <c r="E153" s="13" t="s">
        <v>21</v>
      </c>
      <c r="F153" s="11" t="s">
        <v>451</v>
      </c>
      <c r="G153" s="15" t="s">
        <v>452</v>
      </c>
      <c r="H153" s="13" t="s">
        <v>24</v>
      </c>
      <c r="I153" s="11" t="s">
        <v>55</v>
      </c>
      <c r="J153" s="11" t="s">
        <v>26</v>
      </c>
      <c r="K153" s="12" t="s">
        <v>56</v>
      </c>
      <c r="L153" s="12"/>
      <c r="M153" s="12"/>
      <c r="N153" s="18">
        <v>45846</v>
      </c>
      <c r="O153" s="19" t="e">
        <f>#REF!-N153</f>
        <v>#REF!</v>
      </c>
      <c r="P153" s="20" t="e">
        <f t="shared" si="2"/>
        <v>#REF!</v>
      </c>
      <c r="R153" s="42"/>
      <c r="S153" s="42"/>
      <c r="T153" s="21" t="e">
        <v>#N/A</v>
      </c>
    </row>
    <row r="154" spans="1:20" x14ac:dyDescent="0.25">
      <c r="A154" s="9">
        <v>153</v>
      </c>
      <c r="B154" s="10" t="s">
        <v>19</v>
      </c>
      <c r="C154" s="11" t="s">
        <v>109</v>
      </c>
      <c r="D154" s="12" t="s">
        <v>146</v>
      </c>
      <c r="E154" s="13" t="s">
        <v>21</v>
      </c>
      <c r="F154" s="14" t="s">
        <v>453</v>
      </c>
      <c r="G154" s="15" t="s">
        <v>454</v>
      </c>
      <c r="H154" s="13" t="s">
        <v>24</v>
      </c>
      <c r="I154" s="16" t="s">
        <v>25</v>
      </c>
      <c r="J154" s="11" t="s">
        <v>26</v>
      </c>
      <c r="K154" s="12" t="s">
        <v>27</v>
      </c>
      <c r="L154" s="12"/>
      <c r="M154" s="17" t="s">
        <v>113</v>
      </c>
      <c r="N154" s="18">
        <v>45383</v>
      </c>
      <c r="O154" s="19" t="e">
        <f>#REF!-N154</f>
        <v>#REF!</v>
      </c>
      <c r="P154" s="20" t="e">
        <f t="shared" si="2"/>
        <v>#REF!</v>
      </c>
      <c r="R154" s="35" t="s">
        <v>29</v>
      </c>
      <c r="S154" s="35" t="s">
        <v>29</v>
      </c>
      <c r="T154" s="21" t="s">
        <v>30</v>
      </c>
    </row>
    <row r="155" spans="1:20" x14ac:dyDescent="0.25">
      <c r="A155" s="9">
        <v>154</v>
      </c>
      <c r="B155" s="10" t="s">
        <v>19</v>
      </c>
      <c r="C155" s="11" t="s">
        <v>20</v>
      </c>
      <c r="D155" s="12"/>
      <c r="E155" s="13" t="s">
        <v>21</v>
      </c>
      <c r="F155" s="14" t="s">
        <v>455</v>
      </c>
      <c r="G155" s="15" t="s">
        <v>456</v>
      </c>
      <c r="H155" s="13" t="s">
        <v>24</v>
      </c>
      <c r="I155" s="16" t="s">
        <v>25</v>
      </c>
      <c r="J155" s="11" t="s">
        <v>26</v>
      </c>
      <c r="K155" s="12" t="s">
        <v>27</v>
      </c>
      <c r="L155" s="12"/>
      <c r="M155" s="17" t="s">
        <v>28</v>
      </c>
      <c r="N155" s="18">
        <v>45525</v>
      </c>
      <c r="O155" s="19" t="e">
        <f>#REF!-N155</f>
        <v>#REF!</v>
      </c>
      <c r="P155" s="20" t="e">
        <f t="shared" si="2"/>
        <v>#REF!</v>
      </c>
      <c r="R155" s="35" t="s">
        <v>93</v>
      </c>
      <c r="S155" s="35" t="s">
        <v>93</v>
      </c>
      <c r="T155" s="21" t="s">
        <v>30</v>
      </c>
    </row>
    <row r="156" spans="1:20" x14ac:dyDescent="0.25">
      <c r="A156" s="9">
        <v>155</v>
      </c>
      <c r="B156" s="10" t="s">
        <v>40</v>
      </c>
      <c r="C156" s="11" t="s">
        <v>272</v>
      </c>
      <c r="D156" s="12"/>
      <c r="E156" s="13" t="s">
        <v>21</v>
      </c>
      <c r="F156" s="14" t="s">
        <v>457</v>
      </c>
      <c r="G156" s="15" t="s">
        <v>458</v>
      </c>
      <c r="H156" s="13" t="s">
        <v>24</v>
      </c>
      <c r="I156" s="11" t="s">
        <v>36</v>
      </c>
      <c r="J156" s="11" t="s">
        <v>26</v>
      </c>
      <c r="K156" s="12" t="s">
        <v>27</v>
      </c>
      <c r="L156" s="12"/>
      <c r="M156" s="17" t="s">
        <v>275</v>
      </c>
      <c r="N156" s="18">
        <v>45215</v>
      </c>
      <c r="O156" s="19" t="e">
        <f>#REF!-N156</f>
        <v>#REF!</v>
      </c>
      <c r="P156" s="20" t="e">
        <f t="shared" si="2"/>
        <v>#REF!</v>
      </c>
      <c r="R156" s="35" t="s">
        <v>29</v>
      </c>
      <c r="S156" s="35" t="s">
        <v>29</v>
      </c>
      <c r="T156" s="21" t="s">
        <v>30</v>
      </c>
    </row>
    <row r="157" spans="1:20" x14ac:dyDescent="0.25">
      <c r="A157" s="9">
        <v>156</v>
      </c>
      <c r="B157" s="10" t="s">
        <v>19</v>
      </c>
      <c r="C157" s="11" t="s">
        <v>20</v>
      </c>
      <c r="D157" s="12"/>
      <c r="E157" s="13" t="s">
        <v>21</v>
      </c>
      <c r="F157" s="14" t="s">
        <v>459</v>
      </c>
      <c r="G157" s="15" t="s">
        <v>460</v>
      </c>
      <c r="H157" s="13" t="s">
        <v>24</v>
      </c>
      <c r="I157" s="16" t="s">
        <v>25</v>
      </c>
      <c r="J157" s="11" t="s">
        <v>26</v>
      </c>
      <c r="K157" s="12" t="s">
        <v>27</v>
      </c>
      <c r="L157" s="12"/>
      <c r="M157" s="17" t="s">
        <v>28</v>
      </c>
      <c r="N157" s="18">
        <v>45790</v>
      </c>
      <c r="O157" s="19" t="e">
        <f>#REF!-N157</f>
        <v>#REF!</v>
      </c>
      <c r="P157" s="20" t="e">
        <f t="shared" si="2"/>
        <v>#REF!</v>
      </c>
      <c r="R157" s="35" t="s">
        <v>93</v>
      </c>
      <c r="S157" s="35" t="s">
        <v>93</v>
      </c>
      <c r="T157" s="21" t="s">
        <v>30</v>
      </c>
    </row>
    <row r="158" spans="1:20" x14ac:dyDescent="0.25">
      <c r="A158" s="9">
        <v>157</v>
      </c>
      <c r="B158" s="10" t="s">
        <v>58</v>
      </c>
      <c r="C158" s="11" t="s">
        <v>370</v>
      </c>
      <c r="D158" s="12"/>
      <c r="E158" s="13" t="s">
        <v>21</v>
      </c>
      <c r="F158" s="26" t="s">
        <v>461</v>
      </c>
      <c r="G158" s="15" t="s">
        <v>462</v>
      </c>
      <c r="H158" s="31" t="s">
        <v>24</v>
      </c>
      <c r="I158" s="16" t="s">
        <v>36</v>
      </c>
      <c r="J158" s="16" t="s">
        <v>26</v>
      </c>
      <c r="K158" s="12" t="s">
        <v>373</v>
      </c>
      <c r="L158" s="12"/>
      <c r="M158" s="23"/>
      <c r="N158" s="18">
        <v>45717</v>
      </c>
      <c r="O158" s="19" t="e">
        <f>#REF!-N158</f>
        <v>#REF!</v>
      </c>
      <c r="P158" s="20" t="e">
        <f t="shared" si="2"/>
        <v>#REF!</v>
      </c>
      <c r="R158" s="42"/>
      <c r="S158" s="42"/>
      <c r="T158" s="21" t="e">
        <v>#N/A</v>
      </c>
    </row>
    <row r="159" spans="1:20" x14ac:dyDescent="0.25">
      <c r="A159" s="9">
        <v>158</v>
      </c>
      <c r="B159" s="10" t="s">
        <v>51</v>
      </c>
      <c r="C159" s="11" t="s">
        <v>52</v>
      </c>
      <c r="D159" s="12"/>
      <c r="E159" s="13" t="s">
        <v>21</v>
      </c>
      <c r="F159" s="11" t="s">
        <v>463</v>
      </c>
      <c r="G159" s="15" t="s">
        <v>464</v>
      </c>
      <c r="H159" s="13" t="s">
        <v>24</v>
      </c>
      <c r="I159" s="11" t="s">
        <v>465</v>
      </c>
      <c r="J159" s="11" t="s">
        <v>61</v>
      </c>
      <c r="K159" s="12" t="s">
        <v>56</v>
      </c>
      <c r="L159" s="13" t="s">
        <v>57</v>
      </c>
      <c r="M159" s="12"/>
      <c r="N159" s="18">
        <v>45444</v>
      </c>
      <c r="O159" s="19" t="e">
        <f>#REF!-N159</f>
        <v>#REF!</v>
      </c>
      <c r="P159" s="20" t="e">
        <f t="shared" si="2"/>
        <v>#REF!</v>
      </c>
      <c r="R159" s="42"/>
      <c r="S159" s="42"/>
      <c r="T159" s="21" t="e">
        <v>#N/A</v>
      </c>
    </row>
    <row r="160" spans="1:20" x14ac:dyDescent="0.25">
      <c r="A160" s="9">
        <v>159</v>
      </c>
      <c r="B160" s="10" t="s">
        <v>19</v>
      </c>
      <c r="C160" s="11" t="s">
        <v>20</v>
      </c>
      <c r="D160" s="12"/>
      <c r="E160" s="13" t="s">
        <v>21</v>
      </c>
      <c r="F160" s="14" t="s">
        <v>466</v>
      </c>
      <c r="G160" s="15" t="s">
        <v>467</v>
      </c>
      <c r="H160" s="13" t="s">
        <v>24</v>
      </c>
      <c r="I160" s="16" t="s">
        <v>55</v>
      </c>
      <c r="J160" s="11" t="s">
        <v>26</v>
      </c>
      <c r="K160" s="12" t="s">
        <v>27</v>
      </c>
      <c r="L160" s="12"/>
      <c r="M160" s="17" t="s">
        <v>116</v>
      </c>
      <c r="N160" s="18">
        <v>45845</v>
      </c>
      <c r="O160" s="19" t="e">
        <f>#REF!-N160</f>
        <v>#REF!</v>
      </c>
      <c r="P160" s="20" t="e">
        <f t="shared" si="2"/>
        <v>#REF!</v>
      </c>
      <c r="R160" s="35" t="s">
        <v>29</v>
      </c>
      <c r="S160" s="36"/>
      <c r="T160" s="21" t="s">
        <v>30</v>
      </c>
    </row>
    <row r="161" spans="1:20" x14ac:dyDescent="0.25">
      <c r="A161" s="9">
        <v>160</v>
      </c>
      <c r="B161" s="10" t="s">
        <v>31</v>
      </c>
      <c r="C161" s="11" t="s">
        <v>41</v>
      </c>
      <c r="D161" s="12"/>
      <c r="E161" s="13" t="s">
        <v>21</v>
      </c>
      <c r="F161" s="26" t="s">
        <v>468</v>
      </c>
      <c r="G161" s="15" t="s">
        <v>469</v>
      </c>
      <c r="H161" s="13" t="s">
        <v>24</v>
      </c>
      <c r="I161" s="11" t="s">
        <v>36</v>
      </c>
      <c r="J161" s="11" t="s">
        <v>61</v>
      </c>
      <c r="K161" s="12" t="s">
        <v>132</v>
      </c>
      <c r="L161" s="12"/>
      <c r="M161" s="23" t="s">
        <v>162</v>
      </c>
      <c r="N161" s="18">
        <v>43754</v>
      </c>
      <c r="O161" s="19" t="e">
        <f>#REF!-N161</f>
        <v>#REF!</v>
      </c>
      <c r="P161" s="20" t="e">
        <f t="shared" ref="P161:P218" si="3">IF(O161&lt;=180,"NUEVO",IF(O161&lt;=360,"NOVEL",IF(O161&lt;=720,"SENIOR JUNIOR",IF(O161&lt;=1800,"SENIOR","MASTER"))))</f>
        <v>#REF!</v>
      </c>
      <c r="R161" s="35" t="s">
        <v>470</v>
      </c>
      <c r="S161" s="35" t="s">
        <v>470</v>
      </c>
      <c r="T161" s="21" t="s">
        <v>30</v>
      </c>
    </row>
    <row r="162" spans="1:20" x14ac:dyDescent="0.25">
      <c r="A162" s="9">
        <v>161</v>
      </c>
      <c r="B162" s="10" t="s">
        <v>65</v>
      </c>
      <c r="C162" s="11" t="s">
        <v>471</v>
      </c>
      <c r="D162" s="12"/>
      <c r="E162" s="13" t="s">
        <v>21</v>
      </c>
      <c r="F162" s="43" t="s">
        <v>472</v>
      </c>
      <c r="G162" s="15" t="s">
        <v>473</v>
      </c>
      <c r="H162" s="13" t="s">
        <v>24</v>
      </c>
      <c r="I162" s="11" t="s">
        <v>55</v>
      </c>
      <c r="J162" s="11" t="s">
        <v>26</v>
      </c>
      <c r="K162" s="12" t="s">
        <v>474</v>
      </c>
      <c r="L162" s="12"/>
      <c r="M162" s="12"/>
      <c r="N162" s="18">
        <v>45859</v>
      </c>
      <c r="O162" s="19" t="e">
        <f>#REF!-N162</f>
        <v>#REF!</v>
      </c>
      <c r="P162" s="20" t="e">
        <f t="shared" si="3"/>
        <v>#REF!</v>
      </c>
      <c r="R162" s="44" t="s">
        <v>470</v>
      </c>
      <c r="S162" s="44" t="s">
        <v>470</v>
      </c>
      <c r="T162" s="21" t="e">
        <v>#N/A</v>
      </c>
    </row>
    <row r="163" spans="1:20" ht="15.75" x14ac:dyDescent="0.25">
      <c r="A163" s="9">
        <v>162</v>
      </c>
      <c r="B163" s="10" t="s">
        <v>58</v>
      </c>
      <c r="C163" s="11"/>
      <c r="D163" s="12"/>
      <c r="E163" s="13" t="s">
        <v>21</v>
      </c>
      <c r="F163" s="22" t="s">
        <v>475</v>
      </c>
      <c r="G163" s="15" t="s">
        <v>476</v>
      </c>
      <c r="H163" s="13" t="s">
        <v>24</v>
      </c>
      <c r="I163" s="16" t="s">
        <v>25</v>
      </c>
      <c r="J163" s="11" t="s">
        <v>26</v>
      </c>
      <c r="K163" s="12" t="s">
        <v>477</v>
      </c>
      <c r="L163" s="12"/>
      <c r="M163" s="23"/>
      <c r="N163" s="18">
        <v>45444</v>
      </c>
      <c r="O163" s="19" t="e">
        <f>#REF!-N163</f>
        <v>#REF!</v>
      </c>
      <c r="P163" s="20" t="e">
        <f t="shared" si="3"/>
        <v>#REF!</v>
      </c>
      <c r="R163" s="45" t="s">
        <v>478</v>
      </c>
      <c r="S163" s="45" t="s">
        <v>478</v>
      </c>
      <c r="T163" s="21" t="e">
        <v>#N/A</v>
      </c>
    </row>
    <row r="164" spans="1:20" x14ac:dyDescent="0.25">
      <c r="A164" s="9">
        <v>163</v>
      </c>
      <c r="B164" s="10" t="s">
        <v>19</v>
      </c>
      <c r="C164" s="11" t="s">
        <v>20</v>
      </c>
      <c r="D164" s="12"/>
      <c r="E164" s="13" t="s">
        <v>21</v>
      </c>
      <c r="F164" s="14" t="s">
        <v>479</v>
      </c>
      <c r="G164" s="15" t="s">
        <v>480</v>
      </c>
      <c r="H164" s="13" t="s">
        <v>24</v>
      </c>
      <c r="I164" s="11" t="s">
        <v>36</v>
      </c>
      <c r="J164" s="11" t="s">
        <v>26</v>
      </c>
      <c r="K164" s="12" t="s">
        <v>27</v>
      </c>
      <c r="L164" s="12"/>
      <c r="M164" s="17" t="s">
        <v>28</v>
      </c>
      <c r="N164" s="18">
        <v>44053</v>
      </c>
      <c r="O164" s="19" t="e">
        <f>#REF!-N164</f>
        <v>#REF!</v>
      </c>
      <c r="P164" s="20" t="e">
        <f t="shared" si="3"/>
        <v>#REF!</v>
      </c>
      <c r="R164" s="35" t="s">
        <v>29</v>
      </c>
      <c r="S164" s="35" t="s">
        <v>29</v>
      </c>
      <c r="T164" s="21" t="s">
        <v>30</v>
      </c>
    </row>
    <row r="165" spans="1:20" x14ac:dyDescent="0.25">
      <c r="A165" s="9">
        <v>164</v>
      </c>
      <c r="B165" s="10" t="s">
        <v>240</v>
      </c>
      <c r="C165" s="11" t="s">
        <v>241</v>
      </c>
      <c r="D165" s="12"/>
      <c r="E165" s="13" t="s">
        <v>21</v>
      </c>
      <c r="F165" s="46" t="s">
        <v>481</v>
      </c>
      <c r="G165" s="15" t="s">
        <v>482</v>
      </c>
      <c r="H165" s="13" t="s">
        <v>24</v>
      </c>
      <c r="I165" s="11" t="s">
        <v>36</v>
      </c>
      <c r="J165" s="11" t="s">
        <v>26</v>
      </c>
      <c r="K165" s="12" t="s">
        <v>27</v>
      </c>
      <c r="L165" s="12"/>
      <c r="M165" s="17" t="s">
        <v>244</v>
      </c>
      <c r="N165" s="18">
        <v>45824</v>
      </c>
      <c r="O165" s="19" t="e">
        <f>#REF!-N165</f>
        <v>#REF!</v>
      </c>
      <c r="P165" s="20" t="e">
        <f t="shared" si="3"/>
        <v>#REF!</v>
      </c>
      <c r="R165" s="35" t="s">
        <v>29</v>
      </c>
      <c r="S165" s="35" t="s">
        <v>29</v>
      </c>
      <c r="T165" s="21" t="s">
        <v>30</v>
      </c>
    </row>
    <row r="166" spans="1:20" x14ac:dyDescent="0.25">
      <c r="A166" s="9">
        <v>165</v>
      </c>
      <c r="B166" s="10" t="s">
        <v>154</v>
      </c>
      <c r="C166" s="11" t="s">
        <v>52</v>
      </c>
      <c r="D166" s="37" t="s">
        <v>155</v>
      </c>
      <c r="E166" s="13" t="s">
        <v>21</v>
      </c>
      <c r="F166" s="11" t="s">
        <v>483</v>
      </c>
      <c r="G166" s="15" t="s">
        <v>484</v>
      </c>
      <c r="H166" s="13" t="s">
        <v>24</v>
      </c>
      <c r="I166" s="11" t="s">
        <v>55</v>
      </c>
      <c r="J166" s="11" t="s">
        <v>26</v>
      </c>
      <c r="K166" s="12" t="s">
        <v>56</v>
      </c>
      <c r="L166" s="12"/>
      <c r="M166" s="12"/>
      <c r="N166" s="18">
        <v>45453</v>
      </c>
      <c r="O166" s="19" t="e">
        <f>#REF!-N166</f>
        <v>#REF!</v>
      </c>
      <c r="P166" s="20" t="e">
        <f t="shared" si="3"/>
        <v>#REF!</v>
      </c>
      <c r="R166" s="42"/>
      <c r="S166" s="42"/>
      <c r="T166" s="21" t="e">
        <v>#N/A</v>
      </c>
    </row>
    <row r="167" spans="1:20" x14ac:dyDescent="0.25">
      <c r="A167" s="9">
        <v>166</v>
      </c>
      <c r="B167" s="10" t="s">
        <v>154</v>
      </c>
      <c r="C167" s="11" t="s">
        <v>52</v>
      </c>
      <c r="D167" s="37" t="s">
        <v>155</v>
      </c>
      <c r="E167" s="13" t="s">
        <v>21</v>
      </c>
      <c r="F167" s="11" t="s">
        <v>485</v>
      </c>
      <c r="G167" s="15" t="s">
        <v>486</v>
      </c>
      <c r="H167" s="13" t="s">
        <v>24</v>
      </c>
      <c r="I167" s="11" t="s">
        <v>55</v>
      </c>
      <c r="J167" s="11" t="s">
        <v>26</v>
      </c>
      <c r="K167" s="12" t="s">
        <v>56</v>
      </c>
      <c r="L167" s="12"/>
      <c r="M167" s="12"/>
      <c r="N167" s="18">
        <v>45434</v>
      </c>
      <c r="O167" s="19" t="e">
        <f>#REF!-N167</f>
        <v>#REF!</v>
      </c>
      <c r="P167" s="20" t="e">
        <f t="shared" si="3"/>
        <v>#REF!</v>
      </c>
      <c r="R167" s="42"/>
      <c r="S167" s="42"/>
      <c r="T167" s="21" t="e">
        <v>#N/A</v>
      </c>
    </row>
    <row r="168" spans="1:20" x14ac:dyDescent="0.25">
      <c r="A168" s="9">
        <v>167</v>
      </c>
      <c r="B168" s="10" t="s">
        <v>58</v>
      </c>
      <c r="C168" s="11" t="s">
        <v>76</v>
      </c>
      <c r="D168" s="12"/>
      <c r="E168" s="13" t="s">
        <v>21</v>
      </c>
      <c r="F168" s="22" t="s">
        <v>487</v>
      </c>
      <c r="G168" s="15" t="s">
        <v>488</v>
      </c>
      <c r="H168" s="13" t="s">
        <v>24</v>
      </c>
      <c r="I168" s="11" t="s">
        <v>36</v>
      </c>
      <c r="J168" s="11" t="s">
        <v>26</v>
      </c>
      <c r="K168" s="12" t="s">
        <v>79</v>
      </c>
      <c r="L168" s="12"/>
      <c r="M168" s="23"/>
      <c r="N168" s="18">
        <v>45627</v>
      </c>
      <c r="O168" s="19" t="e">
        <f>#REF!-N168</f>
        <v>#REF!</v>
      </c>
      <c r="P168" s="20" t="e">
        <f t="shared" si="3"/>
        <v>#REF!</v>
      </c>
      <c r="R168" s="42"/>
      <c r="S168" s="42"/>
      <c r="T168" s="21" t="e">
        <v>#N/A</v>
      </c>
    </row>
    <row r="169" spans="1:20" x14ac:dyDescent="0.25">
      <c r="A169" s="9">
        <v>168</v>
      </c>
      <c r="B169" s="10" t="s">
        <v>65</v>
      </c>
      <c r="C169" s="11" t="s">
        <v>489</v>
      </c>
      <c r="D169" s="12"/>
      <c r="E169" s="13" t="s">
        <v>21</v>
      </c>
      <c r="F169" s="11" t="s">
        <v>490</v>
      </c>
      <c r="G169" s="15" t="s">
        <v>491</v>
      </c>
      <c r="H169" s="13" t="s">
        <v>24</v>
      </c>
      <c r="I169" s="16" t="s">
        <v>25</v>
      </c>
      <c r="J169" s="11" t="s">
        <v>26</v>
      </c>
      <c r="K169" s="12" t="s">
        <v>380</v>
      </c>
      <c r="L169" s="12"/>
      <c r="M169" s="12"/>
      <c r="N169" s="18">
        <v>45444</v>
      </c>
      <c r="O169" s="19" t="e">
        <f>#REF!-N169</f>
        <v>#REF!</v>
      </c>
      <c r="P169" s="20" t="e">
        <f t="shared" si="3"/>
        <v>#REF!</v>
      </c>
      <c r="R169" s="42"/>
      <c r="S169" s="42"/>
      <c r="T169" s="21" t="s">
        <v>30</v>
      </c>
    </row>
    <row r="170" spans="1:20" x14ac:dyDescent="0.25">
      <c r="A170" s="9">
        <v>169</v>
      </c>
      <c r="B170" s="10" t="s">
        <v>51</v>
      </c>
      <c r="C170" s="11" t="s">
        <v>52</v>
      </c>
      <c r="D170" s="12"/>
      <c r="E170" s="13" t="s">
        <v>21</v>
      </c>
      <c r="F170" s="11" t="s">
        <v>492</v>
      </c>
      <c r="G170" s="15" t="s">
        <v>493</v>
      </c>
      <c r="H170" s="13" t="s">
        <v>24</v>
      </c>
      <c r="I170" s="11" t="s">
        <v>36</v>
      </c>
      <c r="J170" s="11" t="s">
        <v>61</v>
      </c>
      <c r="K170" s="12" t="s">
        <v>56</v>
      </c>
      <c r="L170" s="13" t="s">
        <v>106</v>
      </c>
      <c r="M170" s="12"/>
      <c r="N170" s="18">
        <v>44928</v>
      </c>
      <c r="O170" s="19" t="e">
        <f>#REF!-N170</f>
        <v>#REF!</v>
      </c>
      <c r="P170" s="20" t="e">
        <f t="shared" si="3"/>
        <v>#REF!</v>
      </c>
      <c r="R170" s="42"/>
      <c r="S170" s="42"/>
      <c r="T170" s="21" t="e">
        <v>#N/A</v>
      </c>
    </row>
    <row r="171" spans="1:20" x14ac:dyDescent="0.25">
      <c r="A171" s="9">
        <v>170</v>
      </c>
      <c r="B171" s="10" t="s">
        <v>121</v>
      </c>
      <c r="C171" s="11" t="s">
        <v>122</v>
      </c>
      <c r="D171" s="12"/>
      <c r="E171" s="13" t="s">
        <v>21</v>
      </c>
      <c r="F171" s="22" t="s">
        <v>494</v>
      </c>
      <c r="G171" s="15" t="s">
        <v>495</v>
      </c>
      <c r="H171" s="13" t="s">
        <v>24</v>
      </c>
      <c r="I171" s="11" t="s">
        <v>55</v>
      </c>
      <c r="J171" s="11" t="s">
        <v>61</v>
      </c>
      <c r="K171" s="23" t="s">
        <v>132</v>
      </c>
      <c r="L171" s="12"/>
      <c r="M171" s="12" t="s">
        <v>125</v>
      </c>
      <c r="N171" s="18">
        <v>45401</v>
      </c>
      <c r="O171" s="19" t="e">
        <f>#REF!-N171</f>
        <v>#REF!</v>
      </c>
      <c r="P171" s="20" t="e">
        <f t="shared" si="3"/>
        <v>#REF!</v>
      </c>
      <c r="R171" s="36"/>
      <c r="S171" s="36"/>
      <c r="T171" s="21" t="s">
        <v>30</v>
      </c>
    </row>
    <row r="172" spans="1:20" x14ac:dyDescent="0.25">
      <c r="A172" s="9">
        <v>171</v>
      </c>
      <c r="B172" s="10" t="s">
        <v>40</v>
      </c>
      <c r="C172" s="11" t="s">
        <v>94</v>
      </c>
      <c r="D172" s="12"/>
      <c r="E172" s="13" t="s">
        <v>21</v>
      </c>
      <c r="F172" s="14" t="s">
        <v>496</v>
      </c>
      <c r="G172" s="15" t="s">
        <v>497</v>
      </c>
      <c r="H172" s="13" t="s">
        <v>24</v>
      </c>
      <c r="I172" s="11" t="s">
        <v>55</v>
      </c>
      <c r="J172" s="11" t="s">
        <v>26</v>
      </c>
      <c r="K172" s="12" t="s">
        <v>27</v>
      </c>
      <c r="L172" s="12"/>
      <c r="M172" s="17" t="s">
        <v>97</v>
      </c>
      <c r="N172" s="18">
        <v>44137</v>
      </c>
      <c r="O172" s="19" t="e">
        <f>#REF!-N172</f>
        <v>#REF!</v>
      </c>
      <c r="P172" s="20" t="e">
        <f t="shared" si="3"/>
        <v>#REF!</v>
      </c>
      <c r="R172" s="36"/>
      <c r="S172" s="36"/>
      <c r="T172" s="21" t="e">
        <v>#N/A</v>
      </c>
    </row>
    <row r="173" spans="1:20" x14ac:dyDescent="0.25">
      <c r="A173" s="9">
        <v>172</v>
      </c>
      <c r="B173" s="10" t="s">
        <v>212</v>
      </c>
      <c r="C173" s="11"/>
      <c r="D173" s="12"/>
      <c r="E173" s="13" t="s">
        <v>21</v>
      </c>
      <c r="F173" s="22" t="s">
        <v>498</v>
      </c>
      <c r="G173" s="15" t="s">
        <v>499</v>
      </c>
      <c r="H173" s="13" t="s">
        <v>24</v>
      </c>
      <c r="I173" s="11" t="s">
        <v>36</v>
      </c>
      <c r="J173" s="11" t="s">
        <v>26</v>
      </c>
      <c r="K173" s="12" t="s">
        <v>27</v>
      </c>
      <c r="L173" s="12"/>
      <c r="M173" s="23" t="s">
        <v>215</v>
      </c>
      <c r="N173" s="18">
        <v>45170</v>
      </c>
      <c r="O173" s="19" t="e">
        <f>#REF!-N173</f>
        <v>#REF!</v>
      </c>
      <c r="P173" s="20" t="e">
        <f t="shared" si="3"/>
        <v>#REF!</v>
      </c>
      <c r="R173" s="35" t="s">
        <v>29</v>
      </c>
      <c r="S173" s="35" t="s">
        <v>29</v>
      </c>
      <c r="T173" s="21" t="s">
        <v>30</v>
      </c>
    </row>
    <row r="174" spans="1:20" x14ac:dyDescent="0.25">
      <c r="A174" s="9">
        <v>173</v>
      </c>
      <c r="B174" s="10" t="s">
        <v>19</v>
      </c>
      <c r="C174" s="11" t="s">
        <v>20</v>
      </c>
      <c r="D174" s="12"/>
      <c r="E174" s="13" t="s">
        <v>21</v>
      </c>
      <c r="F174" s="14" t="s">
        <v>500</v>
      </c>
      <c r="G174" s="15" t="s">
        <v>501</v>
      </c>
      <c r="H174" s="13" t="s">
        <v>24</v>
      </c>
      <c r="I174" s="16" t="s">
        <v>25</v>
      </c>
      <c r="J174" s="11" t="s">
        <v>26</v>
      </c>
      <c r="K174" s="12" t="s">
        <v>27</v>
      </c>
      <c r="L174" s="12"/>
      <c r="M174" s="17" t="s">
        <v>28</v>
      </c>
      <c r="N174" s="18">
        <v>45748</v>
      </c>
      <c r="O174" s="19" t="e">
        <f>#REF!-N174</f>
        <v>#REF!</v>
      </c>
      <c r="P174" s="20" t="e">
        <f t="shared" si="3"/>
        <v>#REF!</v>
      </c>
      <c r="R174" s="36"/>
      <c r="S174" s="36"/>
      <c r="T174" s="21" t="s">
        <v>30</v>
      </c>
    </row>
    <row r="175" spans="1:20" x14ac:dyDescent="0.25">
      <c r="A175" s="9">
        <v>174</v>
      </c>
      <c r="B175" s="10" t="s">
        <v>19</v>
      </c>
      <c r="C175" s="11" t="s">
        <v>20</v>
      </c>
      <c r="D175" s="12"/>
      <c r="E175" s="13" t="s">
        <v>21</v>
      </c>
      <c r="F175" s="14" t="s">
        <v>502</v>
      </c>
      <c r="G175" s="15" t="s">
        <v>503</v>
      </c>
      <c r="H175" s="13" t="s">
        <v>24</v>
      </c>
      <c r="I175" s="16" t="s">
        <v>25</v>
      </c>
      <c r="J175" s="11" t="s">
        <v>26</v>
      </c>
      <c r="K175" s="12" t="s">
        <v>27</v>
      </c>
      <c r="L175" s="12"/>
      <c r="M175" s="17" t="s">
        <v>28</v>
      </c>
      <c r="N175" s="18">
        <v>45546</v>
      </c>
      <c r="O175" s="19" t="e">
        <f>#REF!-N175</f>
        <v>#REF!</v>
      </c>
      <c r="P175" s="20" t="e">
        <f t="shared" si="3"/>
        <v>#REF!</v>
      </c>
      <c r="R175" s="35" t="s">
        <v>93</v>
      </c>
      <c r="S175" s="35" t="s">
        <v>93</v>
      </c>
      <c r="T175" s="21" t="s">
        <v>30</v>
      </c>
    </row>
    <row r="176" spans="1:20" x14ac:dyDescent="0.25">
      <c r="A176" s="9">
        <v>175</v>
      </c>
      <c r="B176" s="10" t="s">
        <v>45</v>
      </c>
      <c r="C176" s="11" t="s">
        <v>341</v>
      </c>
      <c r="D176" s="32"/>
      <c r="E176" s="13" t="s">
        <v>21</v>
      </c>
      <c r="F176" s="22" t="s">
        <v>504</v>
      </c>
      <c r="G176" s="15" t="s">
        <v>505</v>
      </c>
      <c r="H176" s="13" t="s">
        <v>24</v>
      </c>
      <c r="I176" s="41" t="s">
        <v>36</v>
      </c>
      <c r="J176" s="11" t="s">
        <v>26</v>
      </c>
      <c r="K176" s="12" t="s">
        <v>27</v>
      </c>
      <c r="L176" s="12"/>
      <c r="M176" s="23" t="s">
        <v>344</v>
      </c>
      <c r="N176" s="18">
        <v>45880</v>
      </c>
      <c r="O176" s="19" t="e">
        <f>#REF!-N176</f>
        <v>#REF!</v>
      </c>
      <c r="P176" s="20" t="e">
        <f t="shared" si="3"/>
        <v>#REF!</v>
      </c>
      <c r="R176" s="36"/>
      <c r="S176" s="36"/>
      <c r="T176" s="21" t="s">
        <v>30</v>
      </c>
    </row>
    <row r="177" spans="1:20" x14ac:dyDescent="0.25">
      <c r="A177" s="9">
        <v>176</v>
      </c>
      <c r="B177" s="10" t="s">
        <v>40</v>
      </c>
      <c r="C177" s="11" t="s">
        <v>41</v>
      </c>
      <c r="D177" s="12"/>
      <c r="E177" s="13" t="s">
        <v>21</v>
      </c>
      <c r="F177" s="22" t="s">
        <v>506</v>
      </c>
      <c r="G177" s="15" t="s">
        <v>507</v>
      </c>
      <c r="H177" s="13" t="s">
        <v>24</v>
      </c>
      <c r="I177" s="11" t="s">
        <v>36</v>
      </c>
      <c r="J177" s="11" t="s">
        <v>26</v>
      </c>
      <c r="K177" s="12" t="s">
        <v>27</v>
      </c>
      <c r="L177" s="12"/>
      <c r="M177" s="23" t="s">
        <v>44</v>
      </c>
      <c r="N177" s="18">
        <v>45880</v>
      </c>
      <c r="O177" s="19" t="e">
        <f>#REF!-N177</f>
        <v>#REF!</v>
      </c>
      <c r="P177" s="20" t="e">
        <f t="shared" si="3"/>
        <v>#REF!</v>
      </c>
      <c r="R177" s="35" t="s">
        <v>29</v>
      </c>
      <c r="S177" s="35" t="s">
        <v>29</v>
      </c>
      <c r="T177" s="21" t="s">
        <v>30</v>
      </c>
    </row>
    <row r="178" spans="1:20" x14ac:dyDescent="0.25">
      <c r="A178" s="9">
        <v>177</v>
      </c>
      <c r="B178" s="10" t="s">
        <v>51</v>
      </c>
      <c r="C178" s="11" t="s">
        <v>52</v>
      </c>
      <c r="D178" s="12"/>
      <c r="E178" s="13" t="s">
        <v>21</v>
      </c>
      <c r="F178" s="11" t="s">
        <v>508</v>
      </c>
      <c r="G178" s="15" t="s">
        <v>509</v>
      </c>
      <c r="H178" s="13" t="s">
        <v>24</v>
      </c>
      <c r="I178" s="11" t="s">
        <v>332</v>
      </c>
      <c r="J178" s="11" t="s">
        <v>61</v>
      </c>
      <c r="K178" s="12" t="s">
        <v>56</v>
      </c>
      <c r="L178" s="13" t="s">
        <v>106</v>
      </c>
      <c r="M178" s="12"/>
      <c r="N178" s="18">
        <v>45447</v>
      </c>
      <c r="O178" s="19" t="e">
        <f>#REF!-N178</f>
        <v>#REF!</v>
      </c>
      <c r="P178" s="20" t="e">
        <f t="shared" si="3"/>
        <v>#REF!</v>
      </c>
      <c r="R178" s="42"/>
      <c r="S178" s="42"/>
      <c r="T178" s="21" t="e">
        <v>#N/A</v>
      </c>
    </row>
    <row r="179" spans="1:20" x14ac:dyDescent="0.25">
      <c r="A179" s="9">
        <v>178</v>
      </c>
      <c r="B179" s="10" t="s">
        <v>510</v>
      </c>
      <c r="C179" s="11"/>
      <c r="D179" s="12"/>
      <c r="E179" s="13" t="s">
        <v>21</v>
      </c>
      <c r="F179" s="22" t="s">
        <v>511</v>
      </c>
      <c r="G179" s="15" t="s">
        <v>512</v>
      </c>
      <c r="H179" s="13" t="s">
        <v>24</v>
      </c>
      <c r="I179" s="11" t="s">
        <v>36</v>
      </c>
      <c r="J179" s="11" t="s">
        <v>26</v>
      </c>
      <c r="K179" s="12" t="s">
        <v>27</v>
      </c>
      <c r="L179" s="12"/>
      <c r="M179" s="23" t="s">
        <v>215</v>
      </c>
      <c r="N179" s="18">
        <v>45519</v>
      </c>
      <c r="O179" s="19" t="e">
        <f>#REF!-N179</f>
        <v>#REF!</v>
      </c>
      <c r="P179" s="20" t="e">
        <f t="shared" si="3"/>
        <v>#REF!</v>
      </c>
      <c r="R179" s="36"/>
      <c r="S179" s="36"/>
      <c r="T179" s="21" t="s">
        <v>30</v>
      </c>
    </row>
    <row r="180" spans="1:20" x14ac:dyDescent="0.25">
      <c r="A180" s="9">
        <v>179</v>
      </c>
      <c r="B180" s="10" t="s">
        <v>19</v>
      </c>
      <c r="C180" s="11" t="s">
        <v>109</v>
      </c>
      <c r="D180" s="12" t="s">
        <v>146</v>
      </c>
      <c r="E180" s="13" t="s">
        <v>21</v>
      </c>
      <c r="F180" s="14" t="s">
        <v>513</v>
      </c>
      <c r="G180" s="15" t="s">
        <v>514</v>
      </c>
      <c r="H180" s="13" t="s">
        <v>24</v>
      </c>
      <c r="I180" s="16" t="s">
        <v>25</v>
      </c>
      <c r="J180" s="11" t="s">
        <v>26</v>
      </c>
      <c r="K180" s="12" t="s">
        <v>27</v>
      </c>
      <c r="L180" s="12"/>
      <c r="M180" s="17" t="s">
        <v>113</v>
      </c>
      <c r="N180" s="18">
        <v>45399</v>
      </c>
      <c r="O180" s="19" t="e">
        <f>#REF!-N180</f>
        <v>#REF!</v>
      </c>
      <c r="P180" s="20" t="e">
        <f t="shared" si="3"/>
        <v>#REF!</v>
      </c>
      <c r="R180" s="35" t="s">
        <v>93</v>
      </c>
      <c r="S180" s="35" t="s">
        <v>93</v>
      </c>
      <c r="T180" s="21" t="s">
        <v>30</v>
      </c>
    </row>
    <row r="181" spans="1:20" x14ac:dyDescent="0.25">
      <c r="A181" s="9">
        <v>180</v>
      </c>
      <c r="B181" s="10" t="s">
        <v>19</v>
      </c>
      <c r="C181" s="11" t="s">
        <v>20</v>
      </c>
      <c r="D181" s="32"/>
      <c r="E181" s="13" t="s">
        <v>21</v>
      </c>
      <c r="F181" s="14" t="s">
        <v>515</v>
      </c>
      <c r="G181" s="15" t="s">
        <v>516</v>
      </c>
      <c r="H181" s="13" t="s">
        <v>24</v>
      </c>
      <c r="I181" s="11" t="s">
        <v>517</v>
      </c>
      <c r="J181" s="11" t="s">
        <v>26</v>
      </c>
      <c r="K181" s="12" t="s">
        <v>27</v>
      </c>
      <c r="L181" s="12"/>
      <c r="M181" s="17" t="s">
        <v>28</v>
      </c>
      <c r="N181" s="34">
        <v>45915</v>
      </c>
      <c r="O181" s="19" t="e">
        <f>#REF!-N181</f>
        <v>#REF!</v>
      </c>
      <c r="P181" s="20" t="e">
        <f t="shared" si="3"/>
        <v>#REF!</v>
      </c>
      <c r="R181" s="35" t="s">
        <v>93</v>
      </c>
      <c r="S181" s="35" t="s">
        <v>93</v>
      </c>
      <c r="T181" s="21" t="s">
        <v>30</v>
      </c>
    </row>
    <row r="182" spans="1:20" x14ac:dyDescent="0.25">
      <c r="A182" s="9">
        <v>181</v>
      </c>
      <c r="B182" s="10" t="s">
        <v>40</v>
      </c>
      <c r="C182" s="11" t="s">
        <v>41</v>
      </c>
      <c r="D182" s="12"/>
      <c r="E182" s="13" t="s">
        <v>21</v>
      </c>
      <c r="F182" s="14" t="s">
        <v>518</v>
      </c>
      <c r="G182" s="15" t="s">
        <v>519</v>
      </c>
      <c r="H182" s="13" t="s">
        <v>24</v>
      </c>
      <c r="I182" s="11" t="s">
        <v>36</v>
      </c>
      <c r="J182" s="11" t="s">
        <v>26</v>
      </c>
      <c r="K182" s="12" t="s">
        <v>27</v>
      </c>
      <c r="L182" s="12"/>
      <c r="M182" s="17" t="s">
        <v>71</v>
      </c>
      <c r="N182" s="18">
        <v>45768</v>
      </c>
      <c r="O182" s="19" t="e">
        <f>#REF!-N182</f>
        <v>#REF!</v>
      </c>
      <c r="P182" s="20" t="e">
        <f t="shared" si="3"/>
        <v>#REF!</v>
      </c>
      <c r="R182" s="36"/>
      <c r="S182" s="36"/>
      <c r="T182" s="21" t="s">
        <v>30</v>
      </c>
    </row>
    <row r="183" spans="1:20" x14ac:dyDescent="0.25">
      <c r="A183" s="9">
        <v>182</v>
      </c>
      <c r="B183" s="10" t="s">
        <v>58</v>
      </c>
      <c r="C183" s="11" t="s">
        <v>76</v>
      </c>
      <c r="D183" s="12"/>
      <c r="E183" s="13" t="s">
        <v>21</v>
      </c>
      <c r="F183" s="22" t="s">
        <v>520</v>
      </c>
      <c r="G183" s="15" t="s">
        <v>521</v>
      </c>
      <c r="H183" s="31" t="s">
        <v>35</v>
      </c>
      <c r="I183" s="11" t="s">
        <v>55</v>
      </c>
      <c r="J183" s="16" t="s">
        <v>61</v>
      </c>
      <c r="K183" s="12" t="s">
        <v>522</v>
      </c>
      <c r="L183" s="12"/>
      <c r="M183" s="23"/>
      <c r="N183" s="18">
        <v>45545</v>
      </c>
      <c r="O183" s="19" t="e">
        <f>#REF!-N183</f>
        <v>#REF!</v>
      </c>
      <c r="P183" s="20" t="e">
        <f t="shared" si="3"/>
        <v>#REF!</v>
      </c>
      <c r="R183" s="42"/>
      <c r="S183" s="42"/>
      <c r="T183" s="21" t="e">
        <v>#N/A</v>
      </c>
    </row>
    <row r="184" spans="1:20" x14ac:dyDescent="0.25">
      <c r="A184" s="9">
        <v>183</v>
      </c>
      <c r="B184" s="40" t="s">
        <v>240</v>
      </c>
      <c r="C184" s="11"/>
      <c r="D184" s="12"/>
      <c r="E184" s="33" t="s">
        <v>21</v>
      </c>
      <c r="F184" s="14" t="s">
        <v>523</v>
      </c>
      <c r="G184" s="15" t="s">
        <v>524</v>
      </c>
      <c r="H184" s="13" t="s">
        <v>24</v>
      </c>
      <c r="I184" s="16" t="s">
        <v>25</v>
      </c>
      <c r="J184" s="11" t="s">
        <v>61</v>
      </c>
      <c r="K184" s="12" t="s">
        <v>132</v>
      </c>
      <c r="L184" s="12"/>
      <c r="M184" s="17" t="s">
        <v>244</v>
      </c>
      <c r="N184" s="18">
        <v>44215</v>
      </c>
      <c r="O184" s="19" t="e">
        <f>#REF!-N184</f>
        <v>#REF!</v>
      </c>
      <c r="P184" s="20" t="e">
        <f t="shared" si="3"/>
        <v>#REF!</v>
      </c>
      <c r="R184" s="35" t="s">
        <v>29</v>
      </c>
      <c r="S184" s="35" t="s">
        <v>29</v>
      </c>
      <c r="T184" s="21" t="s">
        <v>30</v>
      </c>
    </row>
    <row r="185" spans="1:20" x14ac:dyDescent="0.25">
      <c r="A185" s="9">
        <v>184</v>
      </c>
      <c r="B185" s="10" t="s">
        <v>58</v>
      </c>
      <c r="C185" s="11" t="s">
        <v>72</v>
      </c>
      <c r="D185" s="12"/>
      <c r="E185" s="13" t="s">
        <v>21</v>
      </c>
      <c r="F185" s="22" t="s">
        <v>525</v>
      </c>
      <c r="G185" s="15" t="s">
        <v>526</v>
      </c>
      <c r="H185" s="13" t="s">
        <v>24</v>
      </c>
      <c r="I185" s="11" t="s">
        <v>55</v>
      </c>
      <c r="J185" s="11" t="s">
        <v>26</v>
      </c>
      <c r="K185" s="12" t="s">
        <v>230</v>
      </c>
      <c r="L185" s="12"/>
      <c r="M185" s="23"/>
      <c r="N185" s="18">
        <v>45778</v>
      </c>
      <c r="O185" s="19" t="e">
        <f>#REF!-N185</f>
        <v>#REF!</v>
      </c>
      <c r="P185" s="20" t="e">
        <f t="shared" si="3"/>
        <v>#REF!</v>
      </c>
      <c r="R185" s="42"/>
      <c r="S185" s="42"/>
      <c r="T185" s="21" t="e">
        <v>#N/A</v>
      </c>
    </row>
    <row r="186" spans="1:20" x14ac:dyDescent="0.25">
      <c r="A186" s="9">
        <v>185</v>
      </c>
      <c r="B186" s="10" t="s">
        <v>51</v>
      </c>
      <c r="C186" s="11" t="s">
        <v>52</v>
      </c>
      <c r="D186" s="12"/>
      <c r="E186" s="13" t="s">
        <v>21</v>
      </c>
      <c r="F186" s="11" t="s">
        <v>527</v>
      </c>
      <c r="G186" s="15" t="s">
        <v>528</v>
      </c>
      <c r="H186" s="13" t="s">
        <v>24</v>
      </c>
      <c r="I186" s="11" t="s">
        <v>55</v>
      </c>
      <c r="J186" s="11" t="s">
        <v>26</v>
      </c>
      <c r="K186" s="12" t="s">
        <v>298</v>
      </c>
      <c r="L186" s="13" t="s">
        <v>106</v>
      </c>
      <c r="M186" s="12"/>
      <c r="N186" s="18">
        <v>45839</v>
      </c>
      <c r="O186" s="19" t="e">
        <f>#REF!-N186</f>
        <v>#REF!</v>
      </c>
      <c r="P186" s="20" t="e">
        <f t="shared" si="3"/>
        <v>#REF!</v>
      </c>
      <c r="R186" s="42"/>
      <c r="S186" s="42"/>
      <c r="T186" s="21" t="e">
        <v>#N/A</v>
      </c>
    </row>
    <row r="187" spans="1:20" x14ac:dyDescent="0.25">
      <c r="A187" s="9">
        <v>186</v>
      </c>
      <c r="B187" s="40" t="s">
        <v>240</v>
      </c>
      <c r="C187" s="11"/>
      <c r="D187" s="12"/>
      <c r="E187" s="33" t="s">
        <v>21</v>
      </c>
      <c r="F187" s="14" t="s">
        <v>529</v>
      </c>
      <c r="G187" s="15" t="s">
        <v>530</v>
      </c>
      <c r="H187" s="13" t="s">
        <v>24</v>
      </c>
      <c r="I187" s="11" t="s">
        <v>36</v>
      </c>
      <c r="J187" s="11" t="s">
        <v>61</v>
      </c>
      <c r="K187" s="12" t="s">
        <v>132</v>
      </c>
      <c r="L187" s="12"/>
      <c r="M187" s="17" t="s">
        <v>244</v>
      </c>
      <c r="N187" s="18">
        <v>44326</v>
      </c>
      <c r="O187" s="19" t="e">
        <f>#REF!-N187</f>
        <v>#REF!</v>
      </c>
      <c r="P187" s="20" t="e">
        <f t="shared" si="3"/>
        <v>#REF!</v>
      </c>
      <c r="R187" s="35" t="s">
        <v>29</v>
      </c>
      <c r="S187" s="35" t="s">
        <v>29</v>
      </c>
      <c r="T187" s="21" t="s">
        <v>30</v>
      </c>
    </row>
    <row r="188" spans="1:20" x14ac:dyDescent="0.25">
      <c r="A188" s="9">
        <v>187</v>
      </c>
      <c r="B188" s="10" t="s">
        <v>45</v>
      </c>
      <c r="C188" s="11" t="s">
        <v>341</v>
      </c>
      <c r="D188" s="12"/>
      <c r="E188" s="13" t="s">
        <v>21</v>
      </c>
      <c r="F188" s="22" t="s">
        <v>531</v>
      </c>
      <c r="G188" s="15" t="s">
        <v>532</v>
      </c>
      <c r="H188" s="13" t="s">
        <v>24</v>
      </c>
      <c r="I188" s="11" t="s">
        <v>36</v>
      </c>
      <c r="J188" s="11" t="s">
        <v>26</v>
      </c>
      <c r="K188" s="12" t="s">
        <v>27</v>
      </c>
      <c r="L188" s="12"/>
      <c r="M188" s="23" t="s">
        <v>344</v>
      </c>
      <c r="N188" s="18">
        <v>45190</v>
      </c>
      <c r="O188" s="19" t="e">
        <f>#REF!-N188</f>
        <v>#REF!</v>
      </c>
      <c r="P188" s="20" t="e">
        <f t="shared" si="3"/>
        <v>#REF!</v>
      </c>
      <c r="R188" s="35" t="s">
        <v>29</v>
      </c>
      <c r="S188" s="36"/>
      <c r="T188" s="21" t="s">
        <v>30</v>
      </c>
    </row>
    <row r="189" spans="1:20" x14ac:dyDescent="0.25">
      <c r="A189" s="9">
        <v>188</v>
      </c>
      <c r="B189" s="10" t="s">
        <v>19</v>
      </c>
      <c r="C189" s="11" t="s">
        <v>20</v>
      </c>
      <c r="D189" s="12"/>
      <c r="E189" s="13" t="s">
        <v>21</v>
      </c>
      <c r="F189" s="14" t="s">
        <v>533</v>
      </c>
      <c r="G189" s="15" t="s">
        <v>534</v>
      </c>
      <c r="H189" s="13" t="s">
        <v>24</v>
      </c>
      <c r="I189" s="16" t="s">
        <v>25</v>
      </c>
      <c r="J189" s="11" t="s">
        <v>26</v>
      </c>
      <c r="K189" s="12" t="s">
        <v>27</v>
      </c>
      <c r="L189" s="12"/>
      <c r="M189" s="17" t="s">
        <v>116</v>
      </c>
      <c r="N189" s="18">
        <v>45524</v>
      </c>
      <c r="O189" s="19" t="e">
        <f>#REF!-N189</f>
        <v>#REF!</v>
      </c>
      <c r="P189" s="20" t="e">
        <f t="shared" si="3"/>
        <v>#REF!</v>
      </c>
      <c r="R189" s="35" t="s">
        <v>29</v>
      </c>
      <c r="S189" s="35" t="s">
        <v>29</v>
      </c>
      <c r="T189" s="21" t="s">
        <v>30</v>
      </c>
    </row>
    <row r="190" spans="1:20" x14ac:dyDescent="0.25">
      <c r="A190" s="9">
        <v>189</v>
      </c>
      <c r="B190" s="10" t="s">
        <v>58</v>
      </c>
      <c r="C190" s="11" t="s">
        <v>374</v>
      </c>
      <c r="D190" s="12"/>
      <c r="E190" s="13" t="s">
        <v>21</v>
      </c>
      <c r="F190" s="22" t="s">
        <v>535</v>
      </c>
      <c r="G190" s="15" t="s">
        <v>536</v>
      </c>
      <c r="H190" s="13" t="s">
        <v>24</v>
      </c>
      <c r="I190" s="11" t="s">
        <v>36</v>
      </c>
      <c r="J190" s="11" t="s">
        <v>61</v>
      </c>
      <c r="K190" s="12" t="s">
        <v>377</v>
      </c>
      <c r="L190" s="12"/>
      <c r="M190" s="23"/>
      <c r="N190" s="18">
        <v>45352</v>
      </c>
      <c r="O190" s="19" t="e">
        <f>#REF!-N190</f>
        <v>#REF!</v>
      </c>
      <c r="P190" s="20" t="e">
        <f t="shared" si="3"/>
        <v>#REF!</v>
      </c>
      <c r="R190" s="42"/>
      <c r="S190" s="42"/>
      <c r="T190" s="21" t="e">
        <v>#N/A</v>
      </c>
    </row>
    <row r="191" spans="1:20" x14ac:dyDescent="0.25">
      <c r="A191" s="9">
        <v>190</v>
      </c>
      <c r="B191" s="10" t="s">
        <v>58</v>
      </c>
      <c r="C191" s="11" t="s">
        <v>76</v>
      </c>
      <c r="D191" s="12"/>
      <c r="E191" s="13" t="s">
        <v>21</v>
      </c>
      <c r="F191" s="26" t="s">
        <v>537</v>
      </c>
      <c r="G191" s="15" t="s">
        <v>538</v>
      </c>
      <c r="H191" s="31" t="s">
        <v>24</v>
      </c>
      <c r="I191" s="16" t="s">
        <v>25</v>
      </c>
      <c r="J191" s="16" t="s">
        <v>61</v>
      </c>
      <c r="K191" s="12" t="s">
        <v>539</v>
      </c>
      <c r="L191" s="12"/>
      <c r="M191" s="23"/>
      <c r="N191" s="18">
        <v>44440</v>
      </c>
      <c r="O191" s="19" t="e">
        <f>#REF!-N191</f>
        <v>#REF!</v>
      </c>
      <c r="P191" s="20" t="e">
        <f t="shared" si="3"/>
        <v>#REF!</v>
      </c>
      <c r="R191" s="42"/>
      <c r="S191" s="42"/>
      <c r="T191" s="21" t="e">
        <v>#N/A</v>
      </c>
    </row>
    <row r="192" spans="1:20" x14ac:dyDescent="0.25">
      <c r="A192" s="9">
        <v>191</v>
      </c>
      <c r="B192" s="10" t="s">
        <v>51</v>
      </c>
      <c r="C192" s="11" t="s">
        <v>52</v>
      </c>
      <c r="D192" s="12"/>
      <c r="E192" s="13" t="s">
        <v>21</v>
      </c>
      <c r="F192" s="11" t="s">
        <v>540</v>
      </c>
      <c r="G192" s="15" t="s">
        <v>541</v>
      </c>
      <c r="H192" s="13" t="s">
        <v>24</v>
      </c>
      <c r="I192" s="11" t="s">
        <v>55</v>
      </c>
      <c r="J192" s="11" t="s">
        <v>26</v>
      </c>
      <c r="K192" s="12" t="s">
        <v>56</v>
      </c>
      <c r="L192" s="13" t="s">
        <v>57</v>
      </c>
      <c r="M192" s="12"/>
      <c r="N192" s="18">
        <v>45847</v>
      </c>
      <c r="O192" s="19" t="e">
        <f>#REF!-N192</f>
        <v>#REF!</v>
      </c>
      <c r="P192" s="20" t="e">
        <f t="shared" si="3"/>
        <v>#REF!</v>
      </c>
      <c r="R192" s="42"/>
      <c r="S192" s="42"/>
      <c r="T192" s="21" t="e">
        <v>#N/A</v>
      </c>
    </row>
    <row r="193" spans="1:20" x14ac:dyDescent="0.25">
      <c r="A193" s="9">
        <v>192</v>
      </c>
      <c r="B193" s="10" t="s">
        <v>19</v>
      </c>
      <c r="C193" s="11" t="s">
        <v>20</v>
      </c>
      <c r="D193" s="32"/>
      <c r="E193" s="13" t="s">
        <v>21</v>
      </c>
      <c r="F193" s="14" t="s">
        <v>542</v>
      </c>
      <c r="G193" s="28" t="s">
        <v>543</v>
      </c>
      <c r="H193" s="29" t="s">
        <v>24</v>
      </c>
      <c r="I193" s="47" t="s">
        <v>517</v>
      </c>
      <c r="J193" s="11" t="s">
        <v>26</v>
      </c>
      <c r="K193" s="12" t="s">
        <v>27</v>
      </c>
      <c r="L193" s="12"/>
      <c r="M193" s="17" t="s">
        <v>116</v>
      </c>
      <c r="N193" s="34">
        <v>45922</v>
      </c>
      <c r="O193" s="19" t="e">
        <f>#REF!-N193</f>
        <v>#REF!</v>
      </c>
      <c r="P193" s="20" t="e">
        <f t="shared" si="3"/>
        <v>#REF!</v>
      </c>
      <c r="R193" s="35" t="s">
        <v>93</v>
      </c>
      <c r="S193" s="35" t="s">
        <v>93</v>
      </c>
      <c r="T193" s="21" t="s">
        <v>30</v>
      </c>
    </row>
    <row r="194" spans="1:20" x14ac:dyDescent="0.25">
      <c r="A194" s="9">
        <v>193</v>
      </c>
      <c r="B194" s="10" t="s">
        <v>58</v>
      </c>
      <c r="C194" s="11"/>
      <c r="D194" s="12"/>
      <c r="E194" s="13" t="s">
        <v>21</v>
      </c>
      <c r="F194" s="26" t="s">
        <v>544</v>
      </c>
      <c r="G194" s="15" t="s">
        <v>545</v>
      </c>
      <c r="H194" s="31" t="s">
        <v>24</v>
      </c>
      <c r="I194" s="16" t="s">
        <v>36</v>
      </c>
      <c r="J194" s="16" t="s">
        <v>26</v>
      </c>
      <c r="K194" s="12" t="s">
        <v>546</v>
      </c>
      <c r="L194" s="12"/>
      <c r="M194" s="23"/>
      <c r="N194" s="18">
        <v>44774</v>
      </c>
      <c r="O194" s="19" t="e">
        <f>#REF!-N194</f>
        <v>#REF!</v>
      </c>
      <c r="P194" s="20" t="e">
        <f t="shared" si="3"/>
        <v>#REF!</v>
      </c>
      <c r="R194" s="42"/>
      <c r="S194" s="42"/>
      <c r="T194" s="21" t="e">
        <v>#N/A</v>
      </c>
    </row>
    <row r="195" spans="1:20" x14ac:dyDescent="0.25">
      <c r="A195" s="9">
        <v>194</v>
      </c>
      <c r="B195" s="10" t="s">
        <v>58</v>
      </c>
      <c r="C195" s="11" t="s">
        <v>370</v>
      </c>
      <c r="D195" s="12"/>
      <c r="E195" s="13" t="s">
        <v>21</v>
      </c>
      <c r="F195" s="22" t="s">
        <v>547</v>
      </c>
      <c r="G195" s="15" t="s">
        <v>548</v>
      </c>
      <c r="H195" s="11" t="s">
        <v>24</v>
      </c>
      <c r="I195" s="11" t="s">
        <v>36</v>
      </c>
      <c r="J195" s="11" t="s">
        <v>26</v>
      </c>
      <c r="K195" s="12" t="s">
        <v>549</v>
      </c>
      <c r="L195" s="12"/>
      <c r="M195" s="23"/>
      <c r="N195" s="48">
        <v>36404</v>
      </c>
      <c r="O195" s="19" t="e">
        <f>#REF!-N195</f>
        <v>#REF!</v>
      </c>
      <c r="P195" s="20" t="e">
        <f t="shared" si="3"/>
        <v>#REF!</v>
      </c>
      <c r="R195" s="42"/>
      <c r="S195" s="42"/>
      <c r="T195" s="21" t="e">
        <v>#N/A</v>
      </c>
    </row>
    <row r="196" spans="1:20" x14ac:dyDescent="0.25">
      <c r="A196" s="9">
        <v>195</v>
      </c>
      <c r="B196" s="10" t="s">
        <v>58</v>
      </c>
      <c r="C196" s="11"/>
      <c r="D196" s="12"/>
      <c r="E196" s="13" t="s">
        <v>21</v>
      </c>
      <c r="F196" s="22" t="s">
        <v>550</v>
      </c>
      <c r="G196" s="15" t="s">
        <v>551</v>
      </c>
      <c r="H196" s="31" t="s">
        <v>24</v>
      </c>
      <c r="I196" s="16" t="s">
        <v>25</v>
      </c>
      <c r="J196" s="16" t="s">
        <v>26</v>
      </c>
      <c r="K196" s="12" t="s">
        <v>221</v>
      </c>
      <c r="L196" s="12"/>
      <c r="M196" s="23"/>
      <c r="N196" s="18">
        <v>45505</v>
      </c>
      <c r="O196" s="19" t="e">
        <f>#REF!-N196</f>
        <v>#REF!</v>
      </c>
      <c r="P196" s="20" t="e">
        <f t="shared" si="3"/>
        <v>#REF!</v>
      </c>
      <c r="R196" s="42"/>
      <c r="S196" s="42"/>
      <c r="T196" s="21" t="e">
        <v>#N/A</v>
      </c>
    </row>
    <row r="197" spans="1:20" x14ac:dyDescent="0.25">
      <c r="A197" s="9">
        <v>196</v>
      </c>
      <c r="B197" s="10" t="s">
        <v>19</v>
      </c>
      <c r="C197" s="11" t="s">
        <v>20</v>
      </c>
      <c r="D197" s="12"/>
      <c r="E197" s="13" t="s">
        <v>21</v>
      </c>
      <c r="F197" s="14" t="s">
        <v>552</v>
      </c>
      <c r="G197" s="15" t="s">
        <v>553</v>
      </c>
      <c r="H197" s="13" t="s">
        <v>24</v>
      </c>
      <c r="I197" s="16" t="s">
        <v>25</v>
      </c>
      <c r="J197" s="11" t="s">
        <v>26</v>
      </c>
      <c r="K197" s="12" t="s">
        <v>27</v>
      </c>
      <c r="L197" s="12"/>
      <c r="M197" s="17" t="s">
        <v>28</v>
      </c>
      <c r="N197" s="18">
        <v>45783</v>
      </c>
      <c r="O197" s="19" t="e">
        <f>#REF!-N197</f>
        <v>#REF!</v>
      </c>
      <c r="P197" s="20" t="e">
        <f t="shared" si="3"/>
        <v>#REF!</v>
      </c>
      <c r="R197" s="35" t="s">
        <v>29</v>
      </c>
      <c r="S197" s="35" t="s">
        <v>29</v>
      </c>
      <c r="T197" s="21" t="s">
        <v>30</v>
      </c>
    </row>
    <row r="198" spans="1:20" x14ac:dyDescent="0.25">
      <c r="A198" s="9">
        <v>197</v>
      </c>
      <c r="B198" s="10" t="s">
        <v>58</v>
      </c>
      <c r="C198" s="11"/>
      <c r="D198" s="12"/>
      <c r="E198" s="13" t="s">
        <v>21</v>
      </c>
      <c r="F198" s="22" t="s">
        <v>554</v>
      </c>
      <c r="G198" s="15" t="s">
        <v>555</v>
      </c>
      <c r="H198" s="11" t="s">
        <v>24</v>
      </c>
      <c r="I198" s="11" t="s">
        <v>36</v>
      </c>
      <c r="J198" s="11" t="s">
        <v>26</v>
      </c>
      <c r="K198" s="12" t="s">
        <v>56</v>
      </c>
      <c r="L198" s="12"/>
      <c r="M198" s="23"/>
      <c r="N198" s="48">
        <v>38869</v>
      </c>
      <c r="O198" s="19" t="e">
        <f>#REF!-N198</f>
        <v>#REF!</v>
      </c>
      <c r="P198" s="20" t="e">
        <f t="shared" si="3"/>
        <v>#REF!</v>
      </c>
      <c r="R198" s="42"/>
      <c r="S198" s="42"/>
      <c r="T198" s="21" t="e">
        <v>#N/A</v>
      </c>
    </row>
    <row r="199" spans="1:20" x14ac:dyDescent="0.25">
      <c r="A199" s="9">
        <v>198</v>
      </c>
      <c r="B199" s="10" t="s">
        <v>40</v>
      </c>
      <c r="C199" s="11" t="s">
        <v>41</v>
      </c>
      <c r="D199" s="12"/>
      <c r="E199" s="13" t="s">
        <v>21</v>
      </c>
      <c r="F199" s="22" t="s">
        <v>556</v>
      </c>
      <c r="G199" s="15" t="s">
        <v>557</v>
      </c>
      <c r="H199" s="13" t="s">
        <v>24</v>
      </c>
      <c r="I199" s="11" t="s">
        <v>36</v>
      </c>
      <c r="J199" s="11" t="s">
        <v>26</v>
      </c>
      <c r="K199" s="12" t="s">
        <v>27</v>
      </c>
      <c r="L199" s="12"/>
      <c r="M199" s="23" t="s">
        <v>44</v>
      </c>
      <c r="N199" s="18">
        <v>45174</v>
      </c>
      <c r="O199" s="19" t="e">
        <f>#REF!-N199</f>
        <v>#REF!</v>
      </c>
      <c r="P199" s="20" t="e">
        <f t="shared" si="3"/>
        <v>#REF!</v>
      </c>
      <c r="R199" s="35" t="s">
        <v>29</v>
      </c>
      <c r="S199" s="35" t="s">
        <v>29</v>
      </c>
      <c r="T199" s="21" t="s">
        <v>30</v>
      </c>
    </row>
    <row r="200" spans="1:20" x14ac:dyDescent="0.25">
      <c r="A200" s="9">
        <v>199</v>
      </c>
      <c r="B200" s="10" t="s">
        <v>58</v>
      </c>
      <c r="C200" s="11"/>
      <c r="D200" s="12"/>
      <c r="E200" s="13" t="s">
        <v>21</v>
      </c>
      <c r="F200" s="22" t="s">
        <v>558</v>
      </c>
      <c r="G200" s="15" t="s">
        <v>559</v>
      </c>
      <c r="H200" s="11" t="s">
        <v>24</v>
      </c>
      <c r="I200" s="11" t="s">
        <v>55</v>
      </c>
      <c r="J200" s="11" t="s">
        <v>26</v>
      </c>
      <c r="K200" s="12" t="s">
        <v>380</v>
      </c>
      <c r="L200" s="12"/>
      <c r="M200" s="23"/>
      <c r="N200" s="48">
        <v>41913</v>
      </c>
      <c r="O200" s="19" t="e">
        <f>#REF!-N200</f>
        <v>#REF!</v>
      </c>
      <c r="P200" s="20" t="e">
        <f t="shared" si="3"/>
        <v>#REF!</v>
      </c>
      <c r="R200" s="42"/>
      <c r="S200" s="42"/>
      <c r="T200" s="21" t="e">
        <v>#N/A</v>
      </c>
    </row>
    <row r="201" spans="1:20" x14ac:dyDescent="0.25">
      <c r="A201" s="9">
        <v>200</v>
      </c>
      <c r="B201" s="10" t="s">
        <v>58</v>
      </c>
      <c r="C201" s="11"/>
      <c r="D201" s="12"/>
      <c r="E201" s="13" t="s">
        <v>21</v>
      </c>
      <c r="F201" s="22" t="s">
        <v>560</v>
      </c>
      <c r="G201" s="15" t="s">
        <v>561</v>
      </c>
      <c r="H201" s="11" t="s">
        <v>24</v>
      </c>
      <c r="I201" s="11" t="s">
        <v>55</v>
      </c>
      <c r="J201" s="11" t="s">
        <v>26</v>
      </c>
      <c r="K201" s="12" t="s">
        <v>562</v>
      </c>
      <c r="L201" s="12"/>
      <c r="M201" s="23"/>
      <c r="N201" s="48">
        <v>41913</v>
      </c>
      <c r="O201" s="19" t="e">
        <f>#REF!-N201</f>
        <v>#REF!</v>
      </c>
      <c r="P201" s="20" t="e">
        <f t="shared" si="3"/>
        <v>#REF!</v>
      </c>
      <c r="R201" s="42"/>
      <c r="S201" s="42"/>
      <c r="T201" s="21" t="e">
        <v>#N/A</v>
      </c>
    </row>
    <row r="202" spans="1:20" x14ac:dyDescent="0.25">
      <c r="A202" s="9">
        <v>201</v>
      </c>
      <c r="B202" s="10" t="s">
        <v>121</v>
      </c>
      <c r="C202" s="11" t="s">
        <v>563</v>
      </c>
      <c r="D202" s="12"/>
      <c r="E202" s="13" t="s">
        <v>21</v>
      </c>
      <c r="F202" s="22" t="s">
        <v>564</v>
      </c>
      <c r="G202" s="15" t="s">
        <v>565</v>
      </c>
      <c r="H202" s="13" t="s">
        <v>24</v>
      </c>
      <c r="I202" s="11" t="s">
        <v>36</v>
      </c>
      <c r="J202" s="11" t="s">
        <v>26</v>
      </c>
      <c r="K202" s="12" t="s">
        <v>27</v>
      </c>
      <c r="L202" s="12"/>
      <c r="M202" s="23" t="s">
        <v>162</v>
      </c>
      <c r="N202" s="18">
        <v>44986</v>
      </c>
      <c r="O202" s="19" t="e">
        <f>#REF!-N202</f>
        <v>#REF!</v>
      </c>
      <c r="P202" s="20" t="e">
        <f t="shared" si="3"/>
        <v>#REF!</v>
      </c>
      <c r="R202" s="35" t="s">
        <v>29</v>
      </c>
      <c r="S202" s="35" t="s">
        <v>29</v>
      </c>
      <c r="T202" s="21" t="s">
        <v>30</v>
      </c>
    </row>
    <row r="203" spans="1:20" x14ac:dyDescent="0.25">
      <c r="A203" s="9">
        <v>202</v>
      </c>
      <c r="B203" s="10" t="s">
        <v>58</v>
      </c>
      <c r="C203" s="11" t="s">
        <v>224</v>
      </c>
      <c r="D203" s="12"/>
      <c r="E203" s="13" t="s">
        <v>21</v>
      </c>
      <c r="F203" s="22" t="s">
        <v>566</v>
      </c>
      <c r="G203" s="15" t="s">
        <v>567</v>
      </c>
      <c r="H203" s="11" t="s">
        <v>24</v>
      </c>
      <c r="I203" s="11" t="s">
        <v>36</v>
      </c>
      <c r="J203" s="11" t="s">
        <v>26</v>
      </c>
      <c r="K203" s="12" t="s">
        <v>568</v>
      </c>
      <c r="L203" s="12"/>
      <c r="M203" s="23"/>
      <c r="N203" s="48">
        <v>41426</v>
      </c>
      <c r="O203" s="19" t="e">
        <f>#REF!-N203</f>
        <v>#REF!</v>
      </c>
      <c r="P203" s="20" t="e">
        <f t="shared" si="3"/>
        <v>#REF!</v>
      </c>
      <c r="R203" s="42"/>
      <c r="S203" s="42"/>
      <c r="T203" s="21" t="e">
        <v>#N/A</v>
      </c>
    </row>
    <row r="204" spans="1:20" x14ac:dyDescent="0.25">
      <c r="A204" s="9">
        <v>203</v>
      </c>
      <c r="B204" s="10" t="s">
        <v>58</v>
      </c>
      <c r="C204" s="11" t="s">
        <v>370</v>
      </c>
      <c r="D204" s="12"/>
      <c r="E204" s="13" t="s">
        <v>21</v>
      </c>
      <c r="F204" s="22" t="s">
        <v>569</v>
      </c>
      <c r="G204" s="15" t="s">
        <v>570</v>
      </c>
      <c r="H204" s="11" t="s">
        <v>24</v>
      </c>
      <c r="I204" s="11" t="s">
        <v>36</v>
      </c>
      <c r="J204" s="11" t="s">
        <v>26</v>
      </c>
      <c r="K204" s="12" t="s">
        <v>477</v>
      </c>
      <c r="L204" s="12"/>
      <c r="M204" s="23"/>
      <c r="N204" s="48">
        <v>39479</v>
      </c>
      <c r="O204" s="19" t="e">
        <f>#REF!-N204</f>
        <v>#REF!</v>
      </c>
      <c r="P204" s="20" t="e">
        <f t="shared" si="3"/>
        <v>#REF!</v>
      </c>
      <c r="R204" s="42"/>
      <c r="S204" s="42"/>
      <c r="T204" s="21" t="e">
        <v>#N/A</v>
      </c>
    </row>
    <row r="205" spans="1:20" x14ac:dyDescent="0.25">
      <c r="A205" s="9">
        <v>204</v>
      </c>
      <c r="B205" s="10" t="s">
        <v>19</v>
      </c>
      <c r="C205" s="11" t="s">
        <v>20</v>
      </c>
      <c r="D205" s="12"/>
      <c r="E205" s="13" t="s">
        <v>21</v>
      </c>
      <c r="F205" s="14" t="s">
        <v>571</v>
      </c>
      <c r="G205" s="15" t="s">
        <v>572</v>
      </c>
      <c r="H205" s="13" t="s">
        <v>24</v>
      </c>
      <c r="I205" s="16" t="s">
        <v>25</v>
      </c>
      <c r="J205" s="11" t="s">
        <v>26</v>
      </c>
      <c r="K205" s="12" t="s">
        <v>27</v>
      </c>
      <c r="L205" s="12"/>
      <c r="M205" s="17" t="s">
        <v>116</v>
      </c>
      <c r="N205" s="18">
        <v>45352</v>
      </c>
      <c r="O205" s="19" t="e">
        <f>#REF!-N205</f>
        <v>#REF!</v>
      </c>
      <c r="P205" s="20" t="e">
        <f t="shared" si="3"/>
        <v>#REF!</v>
      </c>
      <c r="R205" s="35" t="s">
        <v>29</v>
      </c>
      <c r="S205" s="35" t="s">
        <v>29</v>
      </c>
      <c r="T205" s="21" t="s">
        <v>30</v>
      </c>
    </row>
    <row r="206" spans="1:20" x14ac:dyDescent="0.25">
      <c r="A206" s="9">
        <v>205</v>
      </c>
      <c r="B206" s="10" t="s">
        <v>19</v>
      </c>
      <c r="C206" s="11" t="s">
        <v>20</v>
      </c>
      <c r="D206" s="12"/>
      <c r="E206" s="13" t="s">
        <v>21</v>
      </c>
      <c r="F206" s="14" t="s">
        <v>573</v>
      </c>
      <c r="G206" s="15" t="s">
        <v>574</v>
      </c>
      <c r="H206" s="13" t="s">
        <v>24</v>
      </c>
      <c r="I206" s="16" t="s">
        <v>25</v>
      </c>
      <c r="J206" s="11" t="s">
        <v>26</v>
      </c>
      <c r="K206" s="12" t="s">
        <v>27</v>
      </c>
      <c r="L206" s="12"/>
      <c r="M206" s="17" t="s">
        <v>116</v>
      </c>
      <c r="N206" s="18">
        <v>45261</v>
      </c>
      <c r="O206" s="19" t="e">
        <f>#REF!-N206</f>
        <v>#REF!</v>
      </c>
      <c r="P206" s="20" t="e">
        <f t="shared" si="3"/>
        <v>#REF!</v>
      </c>
      <c r="R206" s="35" t="s">
        <v>29</v>
      </c>
      <c r="S206" s="35" t="s">
        <v>29</v>
      </c>
      <c r="T206" s="21" t="s">
        <v>30</v>
      </c>
    </row>
    <row r="207" spans="1:20" x14ac:dyDescent="0.25">
      <c r="A207" s="9">
        <v>206</v>
      </c>
      <c r="B207" s="10" t="s">
        <v>154</v>
      </c>
      <c r="C207" s="11" t="s">
        <v>52</v>
      </c>
      <c r="D207" s="37" t="s">
        <v>155</v>
      </c>
      <c r="E207" s="13" t="s">
        <v>21</v>
      </c>
      <c r="F207" s="11" t="s">
        <v>575</v>
      </c>
      <c r="G207" s="15" t="s">
        <v>576</v>
      </c>
      <c r="H207" s="13" t="s">
        <v>24</v>
      </c>
      <c r="I207" s="11" t="s">
        <v>55</v>
      </c>
      <c r="J207" s="11" t="s">
        <v>26</v>
      </c>
      <c r="K207" s="12" t="s">
        <v>56</v>
      </c>
      <c r="L207" s="12"/>
      <c r="M207" s="12"/>
      <c r="N207" s="18">
        <v>45505</v>
      </c>
      <c r="O207" s="19" t="e">
        <f>#REF!-N207</f>
        <v>#REF!</v>
      </c>
      <c r="P207" s="20" t="e">
        <f t="shared" si="3"/>
        <v>#REF!</v>
      </c>
      <c r="R207" s="42"/>
      <c r="S207" s="42"/>
      <c r="T207" s="21" t="e">
        <v>#N/A</v>
      </c>
    </row>
    <row r="208" spans="1:20" x14ac:dyDescent="0.25">
      <c r="A208" s="9">
        <v>207</v>
      </c>
      <c r="B208" s="10" t="s">
        <v>121</v>
      </c>
      <c r="C208" s="11" t="s">
        <v>141</v>
      </c>
      <c r="D208" s="12"/>
      <c r="E208" s="13" t="s">
        <v>21</v>
      </c>
      <c r="F208" s="22" t="s">
        <v>577</v>
      </c>
      <c r="G208" s="15" t="s">
        <v>578</v>
      </c>
      <c r="H208" s="13" t="s">
        <v>24</v>
      </c>
      <c r="I208" s="11" t="s">
        <v>36</v>
      </c>
      <c r="J208" s="11" t="s">
        <v>26</v>
      </c>
      <c r="K208" s="12" t="s">
        <v>27</v>
      </c>
      <c r="L208" s="12"/>
      <c r="M208" s="23" t="s">
        <v>125</v>
      </c>
      <c r="N208" s="18">
        <v>45170</v>
      </c>
      <c r="O208" s="19" t="e">
        <f>#REF!-N208</f>
        <v>#REF!</v>
      </c>
      <c r="P208" s="20" t="e">
        <f t="shared" si="3"/>
        <v>#REF!</v>
      </c>
      <c r="R208" s="35" t="s">
        <v>29</v>
      </c>
      <c r="S208" s="35" t="s">
        <v>29</v>
      </c>
      <c r="T208" s="21" t="s">
        <v>30</v>
      </c>
    </row>
    <row r="209" spans="1:20" x14ac:dyDescent="0.25">
      <c r="A209" s="9">
        <v>208</v>
      </c>
      <c r="B209" s="10" t="s">
        <v>58</v>
      </c>
      <c r="C209" s="11" t="s">
        <v>76</v>
      </c>
      <c r="D209" s="12"/>
      <c r="E209" s="13" t="s">
        <v>21</v>
      </c>
      <c r="F209" s="22" t="s">
        <v>579</v>
      </c>
      <c r="G209" s="15" t="s">
        <v>580</v>
      </c>
      <c r="H209" s="13" t="s">
        <v>24</v>
      </c>
      <c r="I209" s="11" t="s">
        <v>36</v>
      </c>
      <c r="J209" s="11" t="s">
        <v>26</v>
      </c>
      <c r="K209" s="12" t="s">
        <v>581</v>
      </c>
      <c r="L209" s="12"/>
      <c r="M209" s="23"/>
      <c r="N209" s="18">
        <v>44958</v>
      </c>
      <c r="O209" s="19" t="e">
        <f>#REF!-N209</f>
        <v>#REF!</v>
      </c>
      <c r="P209" s="20" t="e">
        <f t="shared" si="3"/>
        <v>#REF!</v>
      </c>
      <c r="R209" s="42"/>
      <c r="S209" s="42"/>
      <c r="T209" s="21" t="e">
        <v>#N/A</v>
      </c>
    </row>
    <row r="210" spans="1:20" x14ac:dyDescent="0.25">
      <c r="A210" s="9">
        <v>209</v>
      </c>
      <c r="B210" s="24"/>
      <c r="C210" s="11" t="s">
        <v>272</v>
      </c>
      <c r="D210" s="12"/>
      <c r="E210" s="13" t="s">
        <v>21</v>
      </c>
      <c r="F210" s="11" t="s">
        <v>582</v>
      </c>
      <c r="G210" s="15" t="s">
        <v>583</v>
      </c>
      <c r="H210" s="13" t="s">
        <v>24</v>
      </c>
      <c r="I210" s="11" t="s">
        <v>36</v>
      </c>
      <c r="J210" s="11" t="s">
        <v>26</v>
      </c>
      <c r="K210" s="12" t="s">
        <v>27</v>
      </c>
      <c r="L210" s="12"/>
      <c r="M210" s="12" t="s">
        <v>275</v>
      </c>
      <c r="N210" s="18">
        <v>44105</v>
      </c>
      <c r="O210" s="19" t="e">
        <f>#REF!-N210</f>
        <v>#REF!</v>
      </c>
      <c r="P210" s="20" t="e">
        <f t="shared" si="3"/>
        <v>#REF!</v>
      </c>
      <c r="R210" s="36"/>
      <c r="S210" s="36"/>
      <c r="T210" s="21" t="s">
        <v>584</v>
      </c>
    </row>
    <row r="211" spans="1:20" x14ac:dyDescent="0.25">
      <c r="A211" s="9">
        <v>210</v>
      </c>
      <c r="B211" s="10" t="s">
        <v>19</v>
      </c>
      <c r="C211" s="11" t="s">
        <v>20</v>
      </c>
      <c r="D211" s="12"/>
      <c r="E211" s="13" t="s">
        <v>21</v>
      </c>
      <c r="F211" s="14" t="s">
        <v>585</v>
      </c>
      <c r="G211" s="15" t="s">
        <v>586</v>
      </c>
      <c r="H211" s="13" t="s">
        <v>24</v>
      </c>
      <c r="I211" s="16" t="s">
        <v>25</v>
      </c>
      <c r="J211" s="11" t="s">
        <v>26</v>
      </c>
      <c r="K211" s="12" t="s">
        <v>27</v>
      </c>
      <c r="L211" s="12"/>
      <c r="M211" s="17" t="s">
        <v>28</v>
      </c>
      <c r="N211" s="18">
        <v>45201</v>
      </c>
      <c r="O211" s="19" t="e">
        <f>#REF!-N211</f>
        <v>#REF!</v>
      </c>
      <c r="P211" s="20" t="e">
        <f t="shared" si="3"/>
        <v>#REF!</v>
      </c>
      <c r="R211" s="35" t="s">
        <v>93</v>
      </c>
      <c r="S211" s="35" t="s">
        <v>93</v>
      </c>
      <c r="T211" s="21" t="s">
        <v>30</v>
      </c>
    </row>
    <row r="212" spans="1:20" x14ac:dyDescent="0.25">
      <c r="A212" s="9">
        <v>211</v>
      </c>
      <c r="B212" s="10" t="s">
        <v>121</v>
      </c>
      <c r="C212" s="11" t="s">
        <v>141</v>
      </c>
      <c r="D212" s="12"/>
      <c r="E212" s="13" t="s">
        <v>21</v>
      </c>
      <c r="F212" s="22" t="s">
        <v>587</v>
      </c>
      <c r="G212" s="15" t="s">
        <v>588</v>
      </c>
      <c r="H212" s="13" t="s">
        <v>24</v>
      </c>
      <c r="I212" s="11" t="s">
        <v>36</v>
      </c>
      <c r="J212" s="11" t="s">
        <v>26</v>
      </c>
      <c r="K212" s="12" t="s">
        <v>27</v>
      </c>
      <c r="L212" s="12"/>
      <c r="M212" s="23" t="s">
        <v>125</v>
      </c>
      <c r="N212" s="18">
        <v>45733</v>
      </c>
      <c r="O212" s="19" t="e">
        <f>#REF!-N212</f>
        <v>#REF!</v>
      </c>
      <c r="P212" s="20" t="e">
        <f t="shared" si="3"/>
        <v>#REF!</v>
      </c>
      <c r="R212" s="35" t="s">
        <v>29</v>
      </c>
      <c r="S212" s="35"/>
      <c r="T212" s="21" t="s">
        <v>30</v>
      </c>
    </row>
    <row r="213" spans="1:20" x14ac:dyDescent="0.25">
      <c r="A213" s="9">
        <v>212</v>
      </c>
      <c r="B213" s="10" t="s">
        <v>240</v>
      </c>
      <c r="C213" s="11" t="s">
        <v>241</v>
      </c>
      <c r="D213" s="12"/>
      <c r="E213" s="13" t="s">
        <v>21</v>
      </c>
      <c r="F213" s="14" t="s">
        <v>589</v>
      </c>
      <c r="G213" s="15" t="s">
        <v>590</v>
      </c>
      <c r="H213" s="13" t="s">
        <v>24</v>
      </c>
      <c r="I213" s="11" t="s">
        <v>36</v>
      </c>
      <c r="J213" s="11" t="s">
        <v>26</v>
      </c>
      <c r="K213" s="12" t="s">
        <v>27</v>
      </c>
      <c r="L213" s="12"/>
      <c r="M213" s="17" t="s">
        <v>244</v>
      </c>
      <c r="N213" s="18">
        <v>45784</v>
      </c>
      <c r="O213" s="19" t="e">
        <f>#REF!-N213</f>
        <v>#REF!</v>
      </c>
      <c r="P213" s="20" t="e">
        <f t="shared" si="3"/>
        <v>#REF!</v>
      </c>
      <c r="R213" s="35" t="s">
        <v>29</v>
      </c>
      <c r="S213" s="35"/>
      <c r="T213" s="21" t="s">
        <v>30</v>
      </c>
    </row>
    <row r="214" spans="1:20" x14ac:dyDescent="0.25">
      <c r="A214" s="9">
        <v>213</v>
      </c>
      <c r="B214" s="10" t="s">
        <v>58</v>
      </c>
      <c r="C214" s="11" t="s">
        <v>135</v>
      </c>
      <c r="D214" s="12"/>
      <c r="E214" s="13" t="s">
        <v>21</v>
      </c>
      <c r="F214" s="22" t="s">
        <v>591</v>
      </c>
      <c r="G214" s="15" t="s">
        <v>592</v>
      </c>
      <c r="H214" s="13" t="s">
        <v>24</v>
      </c>
      <c r="I214" s="11" t="s">
        <v>131</v>
      </c>
      <c r="J214" s="11" t="s">
        <v>61</v>
      </c>
      <c r="K214" s="12" t="s">
        <v>593</v>
      </c>
      <c r="L214" s="12"/>
      <c r="M214" s="23"/>
      <c r="N214" s="18">
        <v>45200</v>
      </c>
      <c r="O214" s="19" t="e">
        <f>#REF!-N214</f>
        <v>#REF!</v>
      </c>
      <c r="P214" s="20" t="e">
        <f t="shared" si="3"/>
        <v>#REF!</v>
      </c>
      <c r="R214" s="42"/>
      <c r="S214" s="42"/>
      <c r="T214" s="21" t="e">
        <v>#N/A</v>
      </c>
    </row>
    <row r="215" spans="1:20" x14ac:dyDescent="0.25">
      <c r="A215" s="9">
        <v>214</v>
      </c>
      <c r="B215" s="10" t="s">
        <v>31</v>
      </c>
      <c r="C215" s="11" t="s">
        <v>193</v>
      </c>
      <c r="D215" s="12"/>
      <c r="E215" s="13" t="s">
        <v>21</v>
      </c>
      <c r="F215" s="22" t="s">
        <v>594</v>
      </c>
      <c r="G215" s="15" t="s">
        <v>595</v>
      </c>
      <c r="H215" s="13" t="s">
        <v>24</v>
      </c>
      <c r="I215" s="11" t="s">
        <v>131</v>
      </c>
      <c r="J215" s="11" t="s">
        <v>61</v>
      </c>
      <c r="K215" s="12" t="s">
        <v>132</v>
      </c>
      <c r="L215" s="12"/>
      <c r="M215" s="23" t="s">
        <v>162</v>
      </c>
      <c r="N215" s="18">
        <v>45566</v>
      </c>
      <c r="O215" s="19" t="e">
        <f>#REF!-N215</f>
        <v>#REF!</v>
      </c>
      <c r="P215" s="20" t="e">
        <f t="shared" si="3"/>
        <v>#REF!</v>
      </c>
      <c r="R215" s="36"/>
      <c r="S215" s="36"/>
      <c r="T215" s="21" t="s">
        <v>30</v>
      </c>
    </row>
    <row r="216" spans="1:20" x14ac:dyDescent="0.25">
      <c r="A216" s="9">
        <v>215</v>
      </c>
      <c r="B216" s="10" t="s">
        <v>40</v>
      </c>
      <c r="C216" s="11" t="s">
        <v>41</v>
      </c>
      <c r="D216" s="12"/>
      <c r="E216" s="13" t="s">
        <v>21</v>
      </c>
      <c r="F216" s="22" t="s">
        <v>596</v>
      </c>
      <c r="G216" s="15" t="s">
        <v>597</v>
      </c>
      <c r="H216" s="13" t="s">
        <v>24</v>
      </c>
      <c r="I216" s="11" t="s">
        <v>36</v>
      </c>
      <c r="J216" s="11" t="s">
        <v>26</v>
      </c>
      <c r="K216" s="12" t="s">
        <v>27</v>
      </c>
      <c r="L216" s="12"/>
      <c r="M216" s="23" t="s">
        <v>44</v>
      </c>
      <c r="N216" s="18">
        <v>45307</v>
      </c>
      <c r="O216" s="19" t="e">
        <f>#REF!-N216</f>
        <v>#REF!</v>
      </c>
      <c r="P216" s="20" t="e">
        <f t="shared" si="3"/>
        <v>#REF!</v>
      </c>
      <c r="R216" s="35" t="s">
        <v>29</v>
      </c>
      <c r="S216" s="35" t="s">
        <v>29</v>
      </c>
      <c r="T216" s="21" t="s">
        <v>30</v>
      </c>
    </row>
    <row r="217" spans="1:20" x14ac:dyDescent="0.25">
      <c r="A217" s="9">
        <v>216</v>
      </c>
      <c r="B217" s="10" t="s">
        <v>31</v>
      </c>
      <c r="C217" s="11" t="s">
        <v>41</v>
      </c>
      <c r="D217" s="12"/>
      <c r="E217" s="13" t="s">
        <v>21</v>
      </c>
      <c r="F217" s="22" t="s">
        <v>598</v>
      </c>
      <c r="G217" s="15" t="s">
        <v>599</v>
      </c>
      <c r="H217" s="13" t="s">
        <v>24</v>
      </c>
      <c r="I217" s="11" t="s">
        <v>36</v>
      </c>
      <c r="J217" s="11" t="s">
        <v>26</v>
      </c>
      <c r="K217" s="12" t="s">
        <v>27</v>
      </c>
      <c r="L217" s="12"/>
      <c r="M217" s="23" t="s">
        <v>162</v>
      </c>
      <c r="N217" s="18">
        <v>45246</v>
      </c>
      <c r="O217" s="19" t="e">
        <f>#REF!-N217</f>
        <v>#REF!</v>
      </c>
      <c r="P217" s="20" t="e">
        <f t="shared" si="3"/>
        <v>#REF!</v>
      </c>
      <c r="R217" s="35" t="s">
        <v>29</v>
      </c>
      <c r="S217" s="35" t="s">
        <v>29</v>
      </c>
      <c r="T217" s="21" t="s">
        <v>30</v>
      </c>
    </row>
    <row r="218" spans="1:20" x14ac:dyDescent="0.25">
      <c r="A218" s="9">
        <v>217</v>
      </c>
      <c r="B218" s="10" t="s">
        <v>58</v>
      </c>
      <c r="C218" s="11" t="s">
        <v>76</v>
      </c>
      <c r="D218" s="12"/>
      <c r="E218" s="13" t="s">
        <v>21</v>
      </c>
      <c r="F218" s="26" t="s">
        <v>600</v>
      </c>
      <c r="G218" s="15" t="s">
        <v>601</v>
      </c>
      <c r="H218" s="31" t="s">
        <v>24</v>
      </c>
      <c r="I218" s="16" t="s">
        <v>36</v>
      </c>
      <c r="J218" s="16" t="s">
        <v>61</v>
      </c>
      <c r="K218" s="12" t="s">
        <v>539</v>
      </c>
      <c r="L218" s="12"/>
      <c r="M218" s="23"/>
      <c r="N218" s="18">
        <v>43102</v>
      </c>
      <c r="O218" s="19" t="e">
        <f>#REF!-N218</f>
        <v>#REF!</v>
      </c>
      <c r="P218" s="20" t="e">
        <f t="shared" si="3"/>
        <v>#REF!</v>
      </c>
      <c r="R218" s="42"/>
      <c r="S218" s="42"/>
      <c r="T218" s="21" t="e">
        <v>#N/A</v>
      </c>
    </row>
    <row r="219" spans="1:20" x14ac:dyDescent="0.25">
      <c r="A219" s="9">
        <v>218</v>
      </c>
      <c r="B219" s="10" t="s">
        <v>58</v>
      </c>
      <c r="C219" s="11" t="s">
        <v>370</v>
      </c>
      <c r="D219" s="12"/>
      <c r="E219" s="13" t="s">
        <v>21</v>
      </c>
      <c r="F219" s="22" t="s">
        <v>602</v>
      </c>
      <c r="G219" s="15" t="s">
        <v>603</v>
      </c>
      <c r="H219" s="11" t="s">
        <v>24</v>
      </c>
      <c r="I219" s="11" t="s">
        <v>36</v>
      </c>
      <c r="J219" s="11" t="s">
        <v>26</v>
      </c>
      <c r="K219" s="12" t="s">
        <v>604</v>
      </c>
      <c r="L219" s="12"/>
      <c r="M219" s="23"/>
      <c r="N219" s="48">
        <v>42614</v>
      </c>
      <c r="O219" s="19" t="e">
        <f>#REF!-N219</f>
        <v>#REF!</v>
      </c>
      <c r="P219" s="20" t="e">
        <f t="shared" ref="P219:P269" si="4">IF(O219&lt;=180,"NUEVO",IF(O219&lt;=360,"NOVEL",IF(O219&lt;=720,"SENIOR JUNIOR",IF(O219&lt;=1800,"SENIOR","MASTER"))))</f>
        <v>#REF!</v>
      </c>
      <c r="R219" s="42"/>
      <c r="S219" s="42"/>
      <c r="T219" s="21" t="e">
        <v>#N/A</v>
      </c>
    </row>
    <row r="220" spans="1:20" x14ac:dyDescent="0.25">
      <c r="A220" s="9">
        <v>219</v>
      </c>
      <c r="B220" s="10" t="s">
        <v>58</v>
      </c>
      <c r="C220" s="11"/>
      <c r="D220" s="12"/>
      <c r="E220" s="13" t="s">
        <v>21</v>
      </c>
      <c r="F220" s="22" t="s">
        <v>605</v>
      </c>
      <c r="G220" s="15" t="s">
        <v>606</v>
      </c>
      <c r="H220" s="13" t="s">
        <v>24</v>
      </c>
      <c r="I220" s="11" t="s">
        <v>36</v>
      </c>
      <c r="J220" s="11" t="s">
        <v>26</v>
      </c>
      <c r="K220" s="12" t="s">
        <v>604</v>
      </c>
      <c r="L220" s="12"/>
      <c r="M220" s="23"/>
      <c r="N220" s="18">
        <v>44682</v>
      </c>
      <c r="O220" s="19" t="e">
        <f>#REF!-N220</f>
        <v>#REF!</v>
      </c>
      <c r="P220" s="20" t="e">
        <f t="shared" si="4"/>
        <v>#REF!</v>
      </c>
      <c r="R220" s="42"/>
      <c r="S220" s="42"/>
      <c r="T220" s="21" t="e">
        <v>#N/A</v>
      </c>
    </row>
    <row r="221" spans="1:20" x14ac:dyDescent="0.25">
      <c r="A221" s="9">
        <v>220</v>
      </c>
      <c r="B221" s="10" t="s">
        <v>58</v>
      </c>
      <c r="C221" s="11" t="s">
        <v>76</v>
      </c>
      <c r="D221" s="12"/>
      <c r="E221" s="13" t="s">
        <v>21</v>
      </c>
      <c r="F221" s="26" t="s">
        <v>607</v>
      </c>
      <c r="G221" s="15" t="s">
        <v>608</v>
      </c>
      <c r="H221" s="31" t="s">
        <v>24</v>
      </c>
      <c r="I221" s="16" t="s">
        <v>131</v>
      </c>
      <c r="J221" s="16" t="s">
        <v>61</v>
      </c>
      <c r="K221" s="12" t="s">
        <v>79</v>
      </c>
      <c r="L221" s="12"/>
      <c r="M221" s="23"/>
      <c r="N221" s="18">
        <v>45444</v>
      </c>
      <c r="O221" s="19" t="e">
        <f>#REF!-N221</f>
        <v>#REF!</v>
      </c>
      <c r="P221" s="20" t="e">
        <f t="shared" si="4"/>
        <v>#REF!</v>
      </c>
      <c r="R221" s="42"/>
      <c r="S221" s="42"/>
      <c r="T221" s="21" t="e">
        <v>#N/A</v>
      </c>
    </row>
    <row r="222" spans="1:20" x14ac:dyDescent="0.25">
      <c r="A222" s="9">
        <v>221</v>
      </c>
      <c r="B222" s="10" t="s">
        <v>58</v>
      </c>
      <c r="C222" s="11" t="s">
        <v>370</v>
      </c>
      <c r="D222" s="12"/>
      <c r="E222" s="13" t="s">
        <v>21</v>
      </c>
      <c r="F222" s="22" t="s">
        <v>609</v>
      </c>
      <c r="G222" s="15" t="s">
        <v>610</v>
      </c>
      <c r="H222" s="11" t="s">
        <v>24</v>
      </c>
      <c r="I222" s="11" t="s">
        <v>36</v>
      </c>
      <c r="J222" s="11" t="s">
        <v>26</v>
      </c>
      <c r="K222" s="12" t="s">
        <v>611</v>
      </c>
      <c r="L222" s="12"/>
      <c r="M222" s="23"/>
      <c r="N222" s="48">
        <v>43132</v>
      </c>
      <c r="O222" s="19" t="e">
        <f>#REF!-N222</f>
        <v>#REF!</v>
      </c>
      <c r="P222" s="20" t="e">
        <f t="shared" si="4"/>
        <v>#REF!</v>
      </c>
      <c r="R222" s="42"/>
      <c r="S222" s="42"/>
      <c r="T222" s="21" t="e">
        <v>#N/A</v>
      </c>
    </row>
    <row r="223" spans="1:20" x14ac:dyDescent="0.25">
      <c r="A223" s="9">
        <v>222</v>
      </c>
      <c r="B223" s="10" t="s">
        <v>58</v>
      </c>
      <c r="C223" s="11" t="s">
        <v>121</v>
      </c>
      <c r="D223" s="12"/>
      <c r="E223" s="13" t="s">
        <v>21</v>
      </c>
      <c r="F223" s="22" t="s">
        <v>612</v>
      </c>
      <c r="G223" s="15" t="s">
        <v>613</v>
      </c>
      <c r="H223" s="13" t="s">
        <v>24</v>
      </c>
      <c r="I223" s="11" t="s">
        <v>36</v>
      </c>
      <c r="J223" s="11" t="s">
        <v>26</v>
      </c>
      <c r="K223" s="12" t="s">
        <v>614</v>
      </c>
      <c r="L223" s="12"/>
      <c r="M223" s="23"/>
      <c r="N223" s="18">
        <v>43985</v>
      </c>
      <c r="O223" s="19" t="e">
        <f>#REF!-N223</f>
        <v>#REF!</v>
      </c>
      <c r="P223" s="20" t="e">
        <f t="shared" si="4"/>
        <v>#REF!</v>
      </c>
      <c r="R223" s="42"/>
      <c r="S223" s="42"/>
      <c r="T223" s="21" t="e">
        <v>#N/A</v>
      </c>
    </row>
    <row r="224" spans="1:20" x14ac:dyDescent="0.25">
      <c r="A224" s="9">
        <v>223</v>
      </c>
      <c r="B224" s="10" t="s">
        <v>40</v>
      </c>
      <c r="C224" s="11" t="s">
        <v>41</v>
      </c>
      <c r="D224" s="12"/>
      <c r="E224" s="13" t="s">
        <v>21</v>
      </c>
      <c r="F224" s="22" t="s">
        <v>615</v>
      </c>
      <c r="G224" s="15" t="s">
        <v>616</v>
      </c>
      <c r="H224" s="13" t="s">
        <v>24</v>
      </c>
      <c r="I224" s="11" t="s">
        <v>36</v>
      </c>
      <c r="J224" s="11" t="s">
        <v>61</v>
      </c>
      <c r="K224" s="12" t="s">
        <v>132</v>
      </c>
      <c r="L224" s="12"/>
      <c r="M224" s="23" t="s">
        <v>44</v>
      </c>
      <c r="N224" s="18">
        <v>44228</v>
      </c>
      <c r="O224" s="19" t="e">
        <f>#REF!-N224</f>
        <v>#REF!</v>
      </c>
      <c r="P224" s="20" t="e">
        <f t="shared" si="4"/>
        <v>#REF!</v>
      </c>
      <c r="R224" s="36"/>
      <c r="S224" s="36"/>
      <c r="T224" s="21" t="s">
        <v>30</v>
      </c>
    </row>
    <row r="225" spans="1:20" x14ac:dyDescent="0.25">
      <c r="A225" s="9">
        <v>224</v>
      </c>
      <c r="B225" s="10" t="s">
        <v>58</v>
      </c>
      <c r="C225" s="11" t="s">
        <v>617</v>
      </c>
      <c r="D225" s="12"/>
      <c r="E225" s="13" t="s">
        <v>21</v>
      </c>
      <c r="F225" s="26" t="s">
        <v>618</v>
      </c>
      <c r="G225" s="15" t="s">
        <v>619</v>
      </c>
      <c r="H225" s="31" t="s">
        <v>24</v>
      </c>
      <c r="I225" s="16" t="s">
        <v>36</v>
      </c>
      <c r="J225" s="16" t="s">
        <v>26</v>
      </c>
      <c r="K225" s="12" t="s">
        <v>620</v>
      </c>
      <c r="L225" s="12"/>
      <c r="M225" s="23"/>
      <c r="N225" s="18">
        <v>39114</v>
      </c>
      <c r="O225" s="19" t="e">
        <f>#REF!-N225</f>
        <v>#REF!</v>
      </c>
      <c r="P225" s="20" t="e">
        <f t="shared" si="4"/>
        <v>#REF!</v>
      </c>
      <c r="R225" s="42"/>
      <c r="S225" s="42"/>
      <c r="T225" s="21" t="e">
        <v>#N/A</v>
      </c>
    </row>
    <row r="226" spans="1:20" x14ac:dyDescent="0.25">
      <c r="A226" s="9">
        <v>225</v>
      </c>
      <c r="B226" s="10" t="s">
        <v>51</v>
      </c>
      <c r="C226" s="11" t="s">
        <v>52</v>
      </c>
      <c r="D226" s="12"/>
      <c r="E226" s="13" t="s">
        <v>21</v>
      </c>
      <c r="F226" s="11" t="s">
        <v>621</v>
      </c>
      <c r="G226" s="15" t="s">
        <v>622</v>
      </c>
      <c r="H226" s="13" t="s">
        <v>24</v>
      </c>
      <c r="I226" s="11" t="s">
        <v>623</v>
      </c>
      <c r="J226" s="11" t="s">
        <v>61</v>
      </c>
      <c r="K226" s="12" t="s">
        <v>56</v>
      </c>
      <c r="L226" s="13" t="s">
        <v>106</v>
      </c>
      <c r="M226" s="12"/>
      <c r="N226" s="18">
        <v>45231</v>
      </c>
      <c r="O226" s="19" t="e">
        <f>#REF!-N226</f>
        <v>#REF!</v>
      </c>
      <c r="P226" s="20" t="e">
        <f t="shared" si="4"/>
        <v>#REF!</v>
      </c>
      <c r="R226" s="42"/>
      <c r="S226" s="42"/>
      <c r="T226" s="21" t="e">
        <v>#N/A</v>
      </c>
    </row>
    <row r="227" spans="1:20" x14ac:dyDescent="0.25">
      <c r="A227" s="9">
        <v>226</v>
      </c>
      <c r="B227" s="10" t="s">
        <v>51</v>
      </c>
      <c r="C227" s="11" t="s">
        <v>52</v>
      </c>
      <c r="D227" s="12"/>
      <c r="E227" s="13" t="s">
        <v>21</v>
      </c>
      <c r="F227" s="11" t="s">
        <v>624</v>
      </c>
      <c r="G227" s="15" t="s">
        <v>625</v>
      </c>
      <c r="H227" s="13" t="s">
        <v>24</v>
      </c>
      <c r="I227" s="11" t="s">
        <v>626</v>
      </c>
      <c r="J227" s="11" t="s">
        <v>61</v>
      </c>
      <c r="K227" s="12" t="s">
        <v>56</v>
      </c>
      <c r="L227" s="13" t="s">
        <v>106</v>
      </c>
      <c r="M227" s="12"/>
      <c r="N227" s="18">
        <v>45748</v>
      </c>
      <c r="O227" s="19" t="e">
        <f>#REF!-N227</f>
        <v>#REF!</v>
      </c>
      <c r="P227" s="20" t="e">
        <f t="shared" si="4"/>
        <v>#REF!</v>
      </c>
      <c r="R227" s="42"/>
      <c r="S227" s="42"/>
      <c r="T227" s="21" t="e">
        <v>#N/A</v>
      </c>
    </row>
    <row r="228" spans="1:20" x14ac:dyDescent="0.25">
      <c r="A228" s="9">
        <v>227</v>
      </c>
      <c r="B228" s="10" t="s">
        <v>51</v>
      </c>
      <c r="C228" s="11" t="s">
        <v>52</v>
      </c>
      <c r="D228" s="12"/>
      <c r="E228" s="13" t="s">
        <v>21</v>
      </c>
      <c r="F228" s="11" t="s">
        <v>627</v>
      </c>
      <c r="G228" s="15" t="s">
        <v>628</v>
      </c>
      <c r="H228" s="13" t="s">
        <v>24</v>
      </c>
      <c r="I228" s="11" t="s">
        <v>629</v>
      </c>
      <c r="J228" s="11" t="s">
        <v>61</v>
      </c>
      <c r="K228" s="12" t="s">
        <v>56</v>
      </c>
      <c r="L228" s="13" t="s">
        <v>106</v>
      </c>
      <c r="M228" s="12"/>
      <c r="N228" s="18">
        <v>45062</v>
      </c>
      <c r="O228" s="19" t="e">
        <f>#REF!-N228</f>
        <v>#REF!</v>
      </c>
      <c r="P228" s="20" t="e">
        <f t="shared" si="4"/>
        <v>#REF!</v>
      </c>
      <c r="R228" s="42"/>
      <c r="S228" s="42"/>
      <c r="T228" s="21" t="e">
        <v>#N/A</v>
      </c>
    </row>
    <row r="229" spans="1:20" x14ac:dyDescent="0.25">
      <c r="A229" s="9">
        <v>228</v>
      </c>
      <c r="B229" s="10" t="s">
        <v>40</v>
      </c>
      <c r="C229" s="11" t="s">
        <v>94</v>
      </c>
      <c r="D229" s="12"/>
      <c r="E229" s="13" t="s">
        <v>21</v>
      </c>
      <c r="F229" s="14" t="s">
        <v>630</v>
      </c>
      <c r="G229" s="15" t="s">
        <v>631</v>
      </c>
      <c r="H229" s="13" t="s">
        <v>24</v>
      </c>
      <c r="I229" s="11" t="s">
        <v>55</v>
      </c>
      <c r="J229" s="11" t="s">
        <v>26</v>
      </c>
      <c r="K229" s="12" t="s">
        <v>27</v>
      </c>
      <c r="L229" s="12"/>
      <c r="M229" s="17" t="s">
        <v>97</v>
      </c>
      <c r="N229" s="18">
        <v>45383</v>
      </c>
      <c r="O229" s="19" t="e">
        <f>#REF!-N229</f>
        <v>#REF!</v>
      </c>
      <c r="P229" s="20" t="e">
        <f t="shared" si="4"/>
        <v>#REF!</v>
      </c>
      <c r="R229" s="35" t="s">
        <v>29</v>
      </c>
      <c r="S229" s="35" t="s">
        <v>29</v>
      </c>
      <c r="T229" s="21" t="s">
        <v>30</v>
      </c>
    </row>
    <row r="230" spans="1:20" x14ac:dyDescent="0.25">
      <c r="A230" s="9">
        <v>229</v>
      </c>
      <c r="B230" s="10" t="s">
        <v>58</v>
      </c>
      <c r="C230" s="11" t="s">
        <v>370</v>
      </c>
      <c r="D230" s="12"/>
      <c r="E230" s="13" t="s">
        <v>21</v>
      </c>
      <c r="F230" s="22" t="s">
        <v>632</v>
      </c>
      <c r="G230" s="15" t="s">
        <v>633</v>
      </c>
      <c r="H230" s="11" t="s">
        <v>24</v>
      </c>
      <c r="I230" s="11" t="s">
        <v>36</v>
      </c>
      <c r="J230" s="11" t="s">
        <v>26</v>
      </c>
      <c r="K230" s="12" t="s">
        <v>221</v>
      </c>
      <c r="L230" s="12"/>
      <c r="M230" s="23"/>
      <c r="N230" s="48">
        <v>39114</v>
      </c>
      <c r="O230" s="19" t="e">
        <f>#REF!-N230</f>
        <v>#REF!</v>
      </c>
      <c r="P230" s="20" t="e">
        <f t="shared" si="4"/>
        <v>#REF!</v>
      </c>
      <c r="R230" s="42"/>
      <c r="S230" s="42"/>
      <c r="T230" s="21" t="e">
        <v>#N/A</v>
      </c>
    </row>
    <row r="231" spans="1:20" x14ac:dyDescent="0.25">
      <c r="A231" s="9">
        <v>230</v>
      </c>
      <c r="B231" s="10" t="s">
        <v>58</v>
      </c>
      <c r="C231" s="11" t="s">
        <v>224</v>
      </c>
      <c r="D231" s="12"/>
      <c r="E231" s="13" t="s">
        <v>21</v>
      </c>
      <c r="F231" s="26" t="s">
        <v>634</v>
      </c>
      <c r="G231" s="15" t="s">
        <v>635</v>
      </c>
      <c r="H231" s="31" t="s">
        <v>35</v>
      </c>
      <c r="I231" s="16" t="s">
        <v>36</v>
      </c>
      <c r="J231" s="16" t="s">
        <v>26</v>
      </c>
      <c r="K231" s="12" t="s">
        <v>636</v>
      </c>
      <c r="L231" s="12"/>
      <c r="M231" s="23"/>
      <c r="N231" s="18">
        <v>44986</v>
      </c>
      <c r="O231" s="19" t="e">
        <f>#REF!-N231</f>
        <v>#REF!</v>
      </c>
      <c r="P231" s="20" t="e">
        <f t="shared" si="4"/>
        <v>#REF!</v>
      </c>
      <c r="R231" s="42"/>
      <c r="S231" s="42"/>
      <c r="T231" s="21" t="e">
        <v>#N/A</v>
      </c>
    </row>
    <row r="232" spans="1:20" x14ac:dyDescent="0.25">
      <c r="A232" s="9">
        <v>231</v>
      </c>
      <c r="B232" s="10" t="s">
        <v>51</v>
      </c>
      <c r="C232" s="11" t="s">
        <v>52</v>
      </c>
      <c r="D232" s="12"/>
      <c r="E232" s="13" t="s">
        <v>21</v>
      </c>
      <c r="F232" s="11" t="s">
        <v>637</v>
      </c>
      <c r="G232" s="15" t="s">
        <v>638</v>
      </c>
      <c r="H232" s="13" t="s">
        <v>24</v>
      </c>
      <c r="I232" s="11" t="s">
        <v>55</v>
      </c>
      <c r="J232" s="11" t="s">
        <v>26</v>
      </c>
      <c r="K232" s="12" t="s">
        <v>56</v>
      </c>
      <c r="L232" s="13" t="s">
        <v>57</v>
      </c>
      <c r="M232" s="12" t="s">
        <v>639</v>
      </c>
      <c r="N232" s="18">
        <v>45859</v>
      </c>
      <c r="O232" s="19" t="e">
        <f>#REF!-N232</f>
        <v>#REF!</v>
      </c>
      <c r="P232" s="20" t="e">
        <f t="shared" si="4"/>
        <v>#REF!</v>
      </c>
      <c r="R232" s="36"/>
      <c r="S232" s="36"/>
      <c r="T232" s="21" t="e">
        <v>#N/A</v>
      </c>
    </row>
    <row r="233" spans="1:20" x14ac:dyDescent="0.25">
      <c r="A233" s="9">
        <v>232</v>
      </c>
      <c r="B233" s="10" t="s">
        <v>65</v>
      </c>
      <c r="C233" s="11" t="s">
        <v>278</v>
      </c>
      <c r="D233" s="12"/>
      <c r="E233" s="13" t="s">
        <v>21</v>
      </c>
      <c r="F233" s="11" t="s">
        <v>640</v>
      </c>
      <c r="G233" s="15" t="s">
        <v>641</v>
      </c>
      <c r="H233" s="13" t="s">
        <v>24</v>
      </c>
      <c r="I233" s="16" t="s">
        <v>25</v>
      </c>
      <c r="J233" s="11" t="s">
        <v>26</v>
      </c>
      <c r="K233" s="12" t="s">
        <v>182</v>
      </c>
      <c r="L233" s="12"/>
      <c r="M233" s="12"/>
      <c r="N233" s="18">
        <v>45444</v>
      </c>
      <c r="O233" s="19" t="e">
        <f>#REF!-N233</f>
        <v>#REF!</v>
      </c>
      <c r="P233" s="20" t="e">
        <f t="shared" si="4"/>
        <v>#REF!</v>
      </c>
      <c r="R233" s="42"/>
      <c r="S233" s="42"/>
      <c r="T233" s="21" t="e">
        <v>#N/A</v>
      </c>
    </row>
    <row r="234" spans="1:20" x14ac:dyDescent="0.25">
      <c r="A234" s="9">
        <v>233</v>
      </c>
      <c r="B234" s="10" t="s">
        <v>45</v>
      </c>
      <c r="C234" s="11" t="s">
        <v>41</v>
      </c>
      <c r="D234" s="12"/>
      <c r="E234" s="13" t="s">
        <v>21</v>
      </c>
      <c r="F234" s="22" t="s">
        <v>642</v>
      </c>
      <c r="G234" s="15" t="s">
        <v>643</v>
      </c>
      <c r="H234" s="13" t="s">
        <v>24</v>
      </c>
      <c r="I234" s="11" t="s">
        <v>36</v>
      </c>
      <c r="J234" s="11" t="s">
        <v>26</v>
      </c>
      <c r="K234" s="12" t="s">
        <v>27</v>
      </c>
      <c r="L234" s="12"/>
      <c r="M234" s="23" t="s">
        <v>48</v>
      </c>
      <c r="N234" s="18">
        <v>43241</v>
      </c>
      <c r="O234" s="19" t="e">
        <f>#REF!-N234</f>
        <v>#REF!</v>
      </c>
      <c r="P234" s="20" t="e">
        <f t="shared" si="4"/>
        <v>#REF!</v>
      </c>
      <c r="R234" s="35" t="s">
        <v>93</v>
      </c>
      <c r="S234" s="36"/>
      <c r="T234" s="21" t="s">
        <v>30</v>
      </c>
    </row>
    <row r="235" spans="1:20" x14ac:dyDescent="0.25">
      <c r="A235" s="9">
        <v>234</v>
      </c>
      <c r="B235" s="10" t="s">
        <v>40</v>
      </c>
      <c r="C235" s="11" t="s">
        <v>272</v>
      </c>
      <c r="D235" s="12"/>
      <c r="E235" s="13" t="s">
        <v>21</v>
      </c>
      <c r="F235" s="14" t="s">
        <v>644</v>
      </c>
      <c r="G235" s="15" t="s">
        <v>645</v>
      </c>
      <c r="H235" s="13" t="s">
        <v>24</v>
      </c>
      <c r="I235" s="11" t="s">
        <v>36</v>
      </c>
      <c r="J235" s="11" t="s">
        <v>26</v>
      </c>
      <c r="K235" s="12" t="s">
        <v>27</v>
      </c>
      <c r="L235" s="12"/>
      <c r="M235" s="17" t="s">
        <v>275</v>
      </c>
      <c r="N235" s="18">
        <v>43486</v>
      </c>
      <c r="O235" s="19" t="e">
        <f>#REF!-N235</f>
        <v>#REF!</v>
      </c>
      <c r="P235" s="20" t="e">
        <f t="shared" si="4"/>
        <v>#REF!</v>
      </c>
      <c r="R235" s="35" t="s">
        <v>29</v>
      </c>
      <c r="S235" s="35" t="s">
        <v>29</v>
      </c>
      <c r="T235" s="21" t="s">
        <v>30</v>
      </c>
    </row>
    <row r="236" spans="1:20" x14ac:dyDescent="0.25">
      <c r="A236" s="9">
        <v>235</v>
      </c>
      <c r="B236" s="10" t="s">
        <v>51</v>
      </c>
      <c r="C236" s="11" t="s">
        <v>52</v>
      </c>
      <c r="D236" s="12"/>
      <c r="E236" s="13" t="s">
        <v>21</v>
      </c>
      <c r="F236" s="11" t="s">
        <v>646</v>
      </c>
      <c r="G236" s="15" t="s">
        <v>647</v>
      </c>
      <c r="H236" s="13" t="s">
        <v>24</v>
      </c>
      <c r="I236" s="11" t="s">
        <v>295</v>
      </c>
      <c r="J236" s="11" t="s">
        <v>61</v>
      </c>
      <c r="K236" s="12" t="s">
        <v>56</v>
      </c>
      <c r="L236" s="13" t="s">
        <v>106</v>
      </c>
      <c r="M236" s="12"/>
      <c r="N236" s="18">
        <v>45749</v>
      </c>
      <c r="O236" s="19" t="e">
        <f>#REF!-N236</f>
        <v>#REF!</v>
      </c>
      <c r="P236" s="20" t="e">
        <f t="shared" si="4"/>
        <v>#REF!</v>
      </c>
      <c r="R236" s="42"/>
      <c r="S236" s="42"/>
      <c r="T236" s="21" t="e">
        <v>#N/A</v>
      </c>
    </row>
    <row r="237" spans="1:20" x14ac:dyDescent="0.25">
      <c r="A237" s="9">
        <v>236</v>
      </c>
      <c r="B237" s="10" t="s">
        <v>65</v>
      </c>
      <c r="C237" s="11" t="s">
        <v>250</v>
      </c>
      <c r="D237" s="12"/>
      <c r="E237" s="13" t="s">
        <v>21</v>
      </c>
      <c r="F237" s="11" t="s">
        <v>648</v>
      </c>
      <c r="G237" s="15" t="s">
        <v>649</v>
      </c>
      <c r="H237" s="13" t="s">
        <v>24</v>
      </c>
      <c r="I237" s="11" t="s">
        <v>55</v>
      </c>
      <c r="J237" s="11" t="s">
        <v>26</v>
      </c>
      <c r="K237" s="12" t="s">
        <v>182</v>
      </c>
      <c r="L237" s="12"/>
      <c r="M237" s="12"/>
      <c r="N237" s="18">
        <v>45444</v>
      </c>
      <c r="O237" s="19" t="e">
        <f>#REF!-N237</f>
        <v>#REF!</v>
      </c>
      <c r="P237" s="20" t="e">
        <f t="shared" si="4"/>
        <v>#REF!</v>
      </c>
      <c r="R237" s="42"/>
      <c r="S237" s="42"/>
      <c r="T237" s="21" t="e">
        <v>#N/A</v>
      </c>
    </row>
    <row r="238" spans="1:20" x14ac:dyDescent="0.25">
      <c r="A238" s="9">
        <v>237</v>
      </c>
      <c r="B238" s="10" t="s">
        <v>51</v>
      </c>
      <c r="C238" s="11" t="s">
        <v>52</v>
      </c>
      <c r="D238" s="12"/>
      <c r="E238" s="13" t="s">
        <v>21</v>
      </c>
      <c r="F238" s="11" t="s">
        <v>650</v>
      </c>
      <c r="G238" s="15" t="s">
        <v>651</v>
      </c>
      <c r="H238" s="13" t="s">
        <v>24</v>
      </c>
      <c r="I238" s="11" t="s">
        <v>100</v>
      </c>
      <c r="J238" s="11" t="s">
        <v>61</v>
      </c>
      <c r="K238" s="12" t="s">
        <v>56</v>
      </c>
      <c r="L238" s="13" t="s">
        <v>106</v>
      </c>
      <c r="M238" s="12"/>
      <c r="N238" s="18">
        <v>44198</v>
      </c>
      <c r="O238" s="19" t="e">
        <f>#REF!-N238</f>
        <v>#REF!</v>
      </c>
      <c r="P238" s="20" t="e">
        <f t="shared" si="4"/>
        <v>#REF!</v>
      </c>
      <c r="R238" s="42"/>
      <c r="S238" s="42"/>
      <c r="T238" s="21" t="e">
        <v>#N/A</v>
      </c>
    </row>
    <row r="239" spans="1:20" x14ac:dyDescent="0.25">
      <c r="A239" s="9">
        <v>238</v>
      </c>
      <c r="B239" s="10" t="s">
        <v>40</v>
      </c>
      <c r="C239" s="11" t="s">
        <v>41</v>
      </c>
      <c r="D239" s="12"/>
      <c r="E239" s="13" t="s">
        <v>21</v>
      </c>
      <c r="F239" s="14" t="s">
        <v>652</v>
      </c>
      <c r="G239" s="15" t="s">
        <v>653</v>
      </c>
      <c r="H239" s="13" t="s">
        <v>24</v>
      </c>
      <c r="I239" s="11" t="s">
        <v>55</v>
      </c>
      <c r="J239" s="11" t="s">
        <v>26</v>
      </c>
      <c r="K239" s="12" t="s">
        <v>27</v>
      </c>
      <c r="L239" s="12"/>
      <c r="M239" s="17" t="s">
        <v>71</v>
      </c>
      <c r="N239" s="18">
        <v>45474</v>
      </c>
      <c r="O239" s="19" t="e">
        <f>#REF!-N239</f>
        <v>#REF!</v>
      </c>
      <c r="P239" s="20" t="e">
        <f t="shared" si="4"/>
        <v>#REF!</v>
      </c>
      <c r="R239" s="35" t="s">
        <v>29</v>
      </c>
      <c r="S239" s="35" t="s">
        <v>29</v>
      </c>
      <c r="T239" s="21" t="s">
        <v>30</v>
      </c>
    </row>
    <row r="240" spans="1:20" x14ac:dyDescent="0.25">
      <c r="A240" s="9">
        <v>239</v>
      </c>
      <c r="B240" s="10" t="s">
        <v>154</v>
      </c>
      <c r="C240" s="11" t="s">
        <v>52</v>
      </c>
      <c r="D240" s="37" t="s">
        <v>155</v>
      </c>
      <c r="E240" s="13" t="s">
        <v>21</v>
      </c>
      <c r="F240" s="11" t="s">
        <v>654</v>
      </c>
      <c r="G240" s="15" t="s">
        <v>655</v>
      </c>
      <c r="H240" s="13" t="s">
        <v>24</v>
      </c>
      <c r="I240" s="11" t="s">
        <v>55</v>
      </c>
      <c r="J240" s="11" t="s">
        <v>26</v>
      </c>
      <c r="K240" s="12" t="s">
        <v>56</v>
      </c>
      <c r="L240" s="12"/>
      <c r="M240" s="12"/>
      <c r="N240" s="18">
        <v>45307</v>
      </c>
      <c r="O240" s="19" t="e">
        <f>#REF!-N240</f>
        <v>#REF!</v>
      </c>
      <c r="P240" s="20" t="e">
        <f t="shared" si="4"/>
        <v>#REF!</v>
      </c>
      <c r="R240" s="42"/>
      <c r="S240" s="42"/>
      <c r="T240" s="21" t="e">
        <v>#N/A</v>
      </c>
    </row>
    <row r="241" spans="1:20" x14ac:dyDescent="0.25">
      <c r="A241" s="9">
        <v>240</v>
      </c>
      <c r="B241" s="10" t="s">
        <v>51</v>
      </c>
      <c r="C241" s="11" t="s">
        <v>52</v>
      </c>
      <c r="D241" s="12"/>
      <c r="E241" s="13" t="s">
        <v>21</v>
      </c>
      <c r="F241" s="11" t="s">
        <v>656</v>
      </c>
      <c r="G241" s="15" t="s">
        <v>657</v>
      </c>
      <c r="H241" s="13" t="s">
        <v>24</v>
      </c>
      <c r="I241" s="11" t="s">
        <v>200</v>
      </c>
      <c r="J241" s="11" t="s">
        <v>61</v>
      </c>
      <c r="K241" s="12" t="s">
        <v>101</v>
      </c>
      <c r="L241" s="13" t="s">
        <v>57</v>
      </c>
      <c r="M241" s="12"/>
      <c r="N241" s="18">
        <v>43481</v>
      </c>
      <c r="O241" s="19" t="e">
        <f>#REF!-N241</f>
        <v>#REF!</v>
      </c>
      <c r="P241" s="20" t="e">
        <f t="shared" si="4"/>
        <v>#REF!</v>
      </c>
      <c r="R241" s="42"/>
      <c r="S241" s="42"/>
      <c r="T241" s="21" t="e">
        <v>#N/A</v>
      </c>
    </row>
    <row r="242" spans="1:20" x14ac:dyDescent="0.25">
      <c r="A242" s="9">
        <v>241</v>
      </c>
      <c r="B242" s="10" t="s">
        <v>40</v>
      </c>
      <c r="C242" s="11" t="s">
        <v>41</v>
      </c>
      <c r="D242" s="12"/>
      <c r="E242" s="13" t="s">
        <v>21</v>
      </c>
      <c r="F242" s="22" t="s">
        <v>658</v>
      </c>
      <c r="G242" s="15" t="s">
        <v>659</v>
      </c>
      <c r="H242" s="13" t="s">
        <v>24</v>
      </c>
      <c r="I242" s="11" t="s">
        <v>36</v>
      </c>
      <c r="J242" s="11" t="s">
        <v>26</v>
      </c>
      <c r="K242" s="12" t="s">
        <v>27</v>
      </c>
      <c r="L242" s="12"/>
      <c r="M242" s="23" t="s">
        <v>44</v>
      </c>
      <c r="N242" s="18">
        <v>45398</v>
      </c>
      <c r="O242" s="19" t="e">
        <f>#REF!-N242</f>
        <v>#REF!</v>
      </c>
      <c r="P242" s="20" t="e">
        <f t="shared" si="4"/>
        <v>#REF!</v>
      </c>
      <c r="R242" s="35" t="s">
        <v>29</v>
      </c>
      <c r="S242" s="35" t="s">
        <v>29</v>
      </c>
      <c r="T242" s="21" t="s">
        <v>30</v>
      </c>
    </row>
    <row r="243" spans="1:20" x14ac:dyDescent="0.25">
      <c r="A243" s="9">
        <v>242</v>
      </c>
      <c r="B243" s="40" t="s">
        <v>240</v>
      </c>
      <c r="C243" s="11"/>
      <c r="D243" s="12"/>
      <c r="E243" s="33" t="s">
        <v>21</v>
      </c>
      <c r="F243" s="14" t="s">
        <v>660</v>
      </c>
      <c r="G243" s="15" t="s">
        <v>661</v>
      </c>
      <c r="H243" s="13" t="s">
        <v>24</v>
      </c>
      <c r="I243" s="11" t="s">
        <v>662</v>
      </c>
      <c r="J243" s="11" t="s">
        <v>61</v>
      </c>
      <c r="K243" s="12" t="s">
        <v>132</v>
      </c>
      <c r="L243" s="12"/>
      <c r="M243" s="17" t="s">
        <v>244</v>
      </c>
      <c r="N243" s="18">
        <v>45293</v>
      </c>
      <c r="O243" s="19" t="e">
        <f>#REF!-N243</f>
        <v>#REF!</v>
      </c>
      <c r="P243" s="20" t="e">
        <f t="shared" si="4"/>
        <v>#REF!</v>
      </c>
      <c r="R243" s="35" t="s">
        <v>29</v>
      </c>
      <c r="S243" s="35" t="s">
        <v>29</v>
      </c>
      <c r="T243" s="21" t="s">
        <v>30</v>
      </c>
    </row>
    <row r="244" spans="1:20" x14ac:dyDescent="0.25">
      <c r="A244" s="9">
        <v>243</v>
      </c>
      <c r="B244" s="10" t="s">
        <v>121</v>
      </c>
      <c r="C244" s="11" t="s">
        <v>141</v>
      </c>
      <c r="D244" s="12"/>
      <c r="E244" s="13" t="s">
        <v>21</v>
      </c>
      <c r="F244" s="22" t="s">
        <v>663</v>
      </c>
      <c r="G244" s="15" t="s">
        <v>664</v>
      </c>
      <c r="H244" s="13" t="s">
        <v>24</v>
      </c>
      <c r="I244" s="11" t="s">
        <v>36</v>
      </c>
      <c r="J244" s="11" t="s">
        <v>26</v>
      </c>
      <c r="K244" s="12" t="s">
        <v>27</v>
      </c>
      <c r="L244" s="12"/>
      <c r="M244" s="23" t="s">
        <v>125</v>
      </c>
      <c r="N244" s="18">
        <v>45434</v>
      </c>
      <c r="O244" s="19" t="e">
        <f>#REF!-N244</f>
        <v>#REF!</v>
      </c>
      <c r="P244" s="20" t="e">
        <f t="shared" si="4"/>
        <v>#REF!</v>
      </c>
      <c r="R244" s="36"/>
      <c r="S244" s="36"/>
      <c r="T244" s="21" t="s">
        <v>30</v>
      </c>
    </row>
    <row r="245" spans="1:20" x14ac:dyDescent="0.25">
      <c r="A245" s="9">
        <v>244</v>
      </c>
      <c r="B245" s="10" t="s">
        <v>40</v>
      </c>
      <c r="C245" s="11" t="s">
        <v>41</v>
      </c>
      <c r="D245" s="12"/>
      <c r="E245" s="13" t="s">
        <v>21</v>
      </c>
      <c r="F245" s="22" t="s">
        <v>665</v>
      </c>
      <c r="G245" s="15" t="s">
        <v>666</v>
      </c>
      <c r="H245" s="13" t="s">
        <v>24</v>
      </c>
      <c r="I245" s="11" t="s">
        <v>36</v>
      </c>
      <c r="J245" s="11" t="s">
        <v>26</v>
      </c>
      <c r="K245" s="12" t="s">
        <v>27</v>
      </c>
      <c r="L245" s="12"/>
      <c r="M245" s="23" t="s">
        <v>44</v>
      </c>
      <c r="N245" s="18">
        <v>45809</v>
      </c>
      <c r="O245" s="19" t="e">
        <f>#REF!-N245</f>
        <v>#REF!</v>
      </c>
      <c r="P245" s="20" t="e">
        <f t="shared" si="4"/>
        <v>#REF!</v>
      </c>
      <c r="R245" s="35" t="s">
        <v>29</v>
      </c>
      <c r="S245" s="35" t="s">
        <v>29</v>
      </c>
      <c r="T245" s="21" t="s">
        <v>30</v>
      </c>
    </row>
    <row r="246" spans="1:20" x14ac:dyDescent="0.25">
      <c r="A246" s="9">
        <v>245</v>
      </c>
      <c r="B246" s="10" t="s">
        <v>51</v>
      </c>
      <c r="C246" s="11" t="s">
        <v>52</v>
      </c>
      <c r="D246" s="12"/>
      <c r="E246" s="13" t="s">
        <v>21</v>
      </c>
      <c r="F246" s="11" t="s">
        <v>667</v>
      </c>
      <c r="G246" s="15" t="s">
        <v>668</v>
      </c>
      <c r="H246" s="13" t="s">
        <v>24</v>
      </c>
      <c r="I246" s="11" t="s">
        <v>669</v>
      </c>
      <c r="J246" s="11" t="s">
        <v>61</v>
      </c>
      <c r="K246" s="12" t="s">
        <v>56</v>
      </c>
      <c r="L246" s="13" t="s">
        <v>106</v>
      </c>
      <c r="M246" s="12"/>
      <c r="N246" s="18">
        <v>45689</v>
      </c>
      <c r="O246" s="19" t="e">
        <f>#REF!-N246</f>
        <v>#REF!</v>
      </c>
      <c r="P246" s="20" t="e">
        <f t="shared" si="4"/>
        <v>#REF!</v>
      </c>
      <c r="R246" s="42"/>
      <c r="S246" s="42"/>
      <c r="T246" s="21" t="e">
        <v>#N/A</v>
      </c>
    </row>
    <row r="247" spans="1:20" x14ac:dyDescent="0.25">
      <c r="A247" s="9">
        <v>246</v>
      </c>
      <c r="B247" s="10" t="s">
        <v>58</v>
      </c>
      <c r="C247" s="11" t="s">
        <v>670</v>
      </c>
      <c r="D247" s="12"/>
      <c r="E247" s="13" t="s">
        <v>21</v>
      </c>
      <c r="F247" s="26" t="s">
        <v>671</v>
      </c>
      <c r="G247" s="15" t="s">
        <v>672</v>
      </c>
      <c r="H247" s="31" t="s">
        <v>24</v>
      </c>
      <c r="I247" s="16" t="s">
        <v>36</v>
      </c>
      <c r="J247" s="16" t="s">
        <v>26</v>
      </c>
      <c r="K247" s="12" t="s">
        <v>673</v>
      </c>
      <c r="L247" s="12"/>
      <c r="M247" s="23"/>
      <c r="N247" s="18">
        <v>39114</v>
      </c>
      <c r="O247" s="19" t="e">
        <f>#REF!-N247</f>
        <v>#REF!</v>
      </c>
      <c r="P247" s="20" t="e">
        <f t="shared" si="4"/>
        <v>#REF!</v>
      </c>
      <c r="R247" s="42"/>
      <c r="S247" s="42"/>
      <c r="T247" s="21" t="e">
        <v>#N/A</v>
      </c>
    </row>
    <row r="248" spans="1:20" x14ac:dyDescent="0.25">
      <c r="A248" s="9">
        <v>247</v>
      </c>
      <c r="B248" s="10" t="s">
        <v>58</v>
      </c>
      <c r="C248" s="11" t="s">
        <v>674</v>
      </c>
      <c r="D248" s="12"/>
      <c r="E248" s="13" t="s">
        <v>21</v>
      </c>
      <c r="F248" s="22" t="s">
        <v>675</v>
      </c>
      <c r="G248" s="15" t="s">
        <v>676</v>
      </c>
      <c r="H248" s="11" t="s">
        <v>24</v>
      </c>
      <c r="I248" s="11" t="s">
        <v>36</v>
      </c>
      <c r="J248" s="11" t="s">
        <v>26</v>
      </c>
      <c r="K248" s="12" t="s">
        <v>677</v>
      </c>
      <c r="L248" s="12"/>
      <c r="M248" s="23"/>
      <c r="N248" s="18">
        <v>42958</v>
      </c>
      <c r="O248" s="19" t="e">
        <f>#REF!-N248</f>
        <v>#REF!</v>
      </c>
      <c r="P248" s="20" t="e">
        <f t="shared" si="4"/>
        <v>#REF!</v>
      </c>
      <c r="R248" s="42"/>
      <c r="S248" s="42"/>
      <c r="T248" s="21" t="e">
        <v>#N/A</v>
      </c>
    </row>
    <row r="249" spans="1:20" x14ac:dyDescent="0.25">
      <c r="A249" s="9">
        <v>248</v>
      </c>
      <c r="B249" s="10" t="s">
        <v>58</v>
      </c>
      <c r="C249" s="12" t="s">
        <v>678</v>
      </c>
      <c r="D249" s="12"/>
      <c r="E249" s="13" t="s">
        <v>21</v>
      </c>
      <c r="F249" s="22" t="s">
        <v>679</v>
      </c>
      <c r="G249" s="15" t="s">
        <v>680</v>
      </c>
      <c r="H249" s="13" t="s">
        <v>24</v>
      </c>
      <c r="I249" s="11" t="s">
        <v>36</v>
      </c>
      <c r="J249" s="11" t="s">
        <v>26</v>
      </c>
      <c r="K249" s="12" t="s">
        <v>678</v>
      </c>
      <c r="L249" s="12"/>
      <c r="M249" s="49" t="s">
        <v>681</v>
      </c>
      <c r="N249" s="18">
        <v>45352</v>
      </c>
      <c r="O249" s="19" t="e">
        <f>#REF!-N249</f>
        <v>#REF!</v>
      </c>
      <c r="P249" s="20" t="e">
        <f t="shared" si="4"/>
        <v>#REF!</v>
      </c>
      <c r="R249" s="35" t="s">
        <v>29</v>
      </c>
      <c r="S249" s="36"/>
      <c r="T249" s="21" t="e">
        <v>#N/A</v>
      </c>
    </row>
    <row r="250" spans="1:20" x14ac:dyDescent="0.25">
      <c r="A250" s="9">
        <v>249</v>
      </c>
      <c r="B250" s="10" t="s">
        <v>40</v>
      </c>
      <c r="C250" s="11" t="s">
        <v>272</v>
      </c>
      <c r="D250" s="12"/>
      <c r="E250" s="13" t="s">
        <v>21</v>
      </c>
      <c r="F250" s="14" t="s">
        <v>682</v>
      </c>
      <c r="G250" s="15" t="s">
        <v>683</v>
      </c>
      <c r="H250" s="13" t="s">
        <v>24</v>
      </c>
      <c r="I250" s="11" t="s">
        <v>36</v>
      </c>
      <c r="J250" s="11" t="s">
        <v>26</v>
      </c>
      <c r="K250" s="12" t="s">
        <v>27</v>
      </c>
      <c r="L250" s="12"/>
      <c r="M250" s="17" t="s">
        <v>275</v>
      </c>
      <c r="N250" s="18">
        <v>44110</v>
      </c>
      <c r="O250" s="19" t="e">
        <f>#REF!-N250</f>
        <v>#REF!</v>
      </c>
      <c r="P250" s="20" t="e">
        <f t="shared" si="4"/>
        <v>#REF!</v>
      </c>
      <c r="R250" s="35" t="s">
        <v>29</v>
      </c>
      <c r="S250" s="35" t="s">
        <v>29</v>
      </c>
      <c r="T250" s="21" t="s">
        <v>30</v>
      </c>
    </row>
    <row r="251" spans="1:20" x14ac:dyDescent="0.25">
      <c r="A251" s="9">
        <v>250</v>
      </c>
      <c r="B251" s="10" t="s">
        <v>51</v>
      </c>
      <c r="C251" s="11" t="s">
        <v>52</v>
      </c>
      <c r="D251" s="12"/>
      <c r="E251" s="13" t="s">
        <v>21</v>
      </c>
      <c r="F251" s="11" t="s">
        <v>684</v>
      </c>
      <c r="G251" s="15" t="s">
        <v>685</v>
      </c>
      <c r="H251" s="13" t="s">
        <v>24</v>
      </c>
      <c r="I251" s="11" t="s">
        <v>686</v>
      </c>
      <c r="J251" s="11" t="s">
        <v>61</v>
      </c>
      <c r="K251" s="12" t="s">
        <v>56</v>
      </c>
      <c r="L251" s="13" t="s">
        <v>106</v>
      </c>
      <c r="M251" s="12"/>
      <c r="N251" s="18">
        <v>45231</v>
      </c>
      <c r="O251" s="19" t="e">
        <f>#REF!-N251</f>
        <v>#REF!</v>
      </c>
      <c r="P251" s="20" t="e">
        <f t="shared" si="4"/>
        <v>#REF!</v>
      </c>
      <c r="R251" s="42"/>
      <c r="S251" s="42"/>
      <c r="T251" s="21" t="e">
        <v>#N/A</v>
      </c>
    </row>
    <row r="252" spans="1:20" x14ac:dyDescent="0.25">
      <c r="A252" s="9">
        <v>251</v>
      </c>
      <c r="B252" s="10" t="s">
        <v>19</v>
      </c>
      <c r="C252" s="11" t="s">
        <v>20</v>
      </c>
      <c r="D252" s="12"/>
      <c r="E252" s="13" t="s">
        <v>21</v>
      </c>
      <c r="F252" s="14" t="s">
        <v>687</v>
      </c>
      <c r="G252" s="15" t="s">
        <v>688</v>
      </c>
      <c r="H252" s="13" t="s">
        <v>24</v>
      </c>
      <c r="I252" s="16" t="s">
        <v>25</v>
      </c>
      <c r="J252" s="11" t="s">
        <v>26</v>
      </c>
      <c r="K252" s="12" t="s">
        <v>27</v>
      </c>
      <c r="L252" s="12"/>
      <c r="M252" s="17" t="s">
        <v>28</v>
      </c>
      <c r="N252" s="18">
        <v>45261</v>
      </c>
      <c r="O252" s="19" t="e">
        <f>#REF!-N252</f>
        <v>#REF!</v>
      </c>
      <c r="P252" s="20" t="e">
        <f t="shared" si="4"/>
        <v>#REF!</v>
      </c>
      <c r="R252" s="35" t="s">
        <v>93</v>
      </c>
      <c r="S252" s="35" t="s">
        <v>93</v>
      </c>
      <c r="T252" s="21" t="s">
        <v>30</v>
      </c>
    </row>
    <row r="253" spans="1:20" x14ac:dyDescent="0.25">
      <c r="A253" s="9">
        <v>252</v>
      </c>
      <c r="B253" s="10" t="s">
        <v>58</v>
      </c>
      <c r="C253" s="11" t="s">
        <v>374</v>
      </c>
      <c r="D253" s="12"/>
      <c r="E253" s="13" t="s">
        <v>21</v>
      </c>
      <c r="F253" s="22" t="s">
        <v>689</v>
      </c>
      <c r="G253" s="15" t="s">
        <v>690</v>
      </c>
      <c r="H253" s="13" t="s">
        <v>24</v>
      </c>
      <c r="I253" s="11" t="s">
        <v>36</v>
      </c>
      <c r="J253" s="11" t="s">
        <v>61</v>
      </c>
      <c r="K253" s="12" t="s">
        <v>691</v>
      </c>
      <c r="L253" s="12"/>
      <c r="M253" s="23"/>
      <c r="N253" s="18">
        <v>45323</v>
      </c>
      <c r="O253" s="19" t="e">
        <f>#REF!-N253</f>
        <v>#REF!</v>
      </c>
      <c r="P253" s="20" t="e">
        <f t="shared" si="4"/>
        <v>#REF!</v>
      </c>
      <c r="R253" s="42"/>
      <c r="S253" s="42"/>
      <c r="T253" s="21" t="e">
        <v>#N/A</v>
      </c>
    </row>
    <row r="254" spans="1:20" x14ac:dyDescent="0.25">
      <c r="A254" s="9">
        <v>253</v>
      </c>
      <c r="B254" s="10" t="s">
        <v>58</v>
      </c>
      <c r="C254" s="11" t="s">
        <v>674</v>
      </c>
      <c r="D254" s="12"/>
      <c r="E254" s="13" t="s">
        <v>21</v>
      </c>
      <c r="F254" s="22" t="s">
        <v>692</v>
      </c>
      <c r="G254" s="15" t="s">
        <v>693</v>
      </c>
      <c r="H254" s="13" t="s">
        <v>24</v>
      </c>
      <c r="I254" s="11" t="s">
        <v>36</v>
      </c>
      <c r="J254" s="11" t="s">
        <v>26</v>
      </c>
      <c r="K254" s="12" t="s">
        <v>694</v>
      </c>
      <c r="L254" s="12"/>
      <c r="M254" s="23"/>
      <c r="N254" s="18">
        <v>45839</v>
      </c>
      <c r="O254" s="19" t="e">
        <f>#REF!-N254</f>
        <v>#REF!</v>
      </c>
      <c r="P254" s="20" t="e">
        <f t="shared" si="4"/>
        <v>#REF!</v>
      </c>
      <c r="R254" s="42"/>
      <c r="S254" s="42"/>
      <c r="T254" s="21" t="e">
        <v>#N/A</v>
      </c>
    </row>
    <row r="255" spans="1:20" x14ac:dyDescent="0.25">
      <c r="A255" s="9">
        <v>254</v>
      </c>
      <c r="B255" s="10" t="s">
        <v>65</v>
      </c>
      <c r="C255" s="11" t="s">
        <v>278</v>
      </c>
      <c r="D255" s="12"/>
      <c r="E255" s="13" t="s">
        <v>21</v>
      </c>
      <c r="F255" s="11" t="s">
        <v>695</v>
      </c>
      <c r="G255" s="15" t="s">
        <v>696</v>
      </c>
      <c r="H255" s="13" t="s">
        <v>24</v>
      </c>
      <c r="I255" s="16" t="s">
        <v>25</v>
      </c>
      <c r="J255" s="11" t="s">
        <v>26</v>
      </c>
      <c r="K255" s="12" t="s">
        <v>380</v>
      </c>
      <c r="L255" s="12"/>
      <c r="M255" s="12"/>
      <c r="N255" s="18">
        <v>45444</v>
      </c>
      <c r="O255" s="19" t="e">
        <f>#REF!-N255</f>
        <v>#REF!</v>
      </c>
      <c r="P255" s="20" t="e">
        <f t="shared" si="4"/>
        <v>#REF!</v>
      </c>
      <c r="R255" s="42"/>
      <c r="S255" s="42"/>
      <c r="T255" s="21" t="e">
        <v>#N/A</v>
      </c>
    </row>
    <row r="256" spans="1:20" x14ac:dyDescent="0.25">
      <c r="A256" s="9">
        <v>255</v>
      </c>
      <c r="B256" s="10" t="s">
        <v>121</v>
      </c>
      <c r="C256" s="11" t="s">
        <v>122</v>
      </c>
      <c r="D256" s="12"/>
      <c r="E256" s="13" t="s">
        <v>21</v>
      </c>
      <c r="F256" s="22" t="s">
        <v>697</v>
      </c>
      <c r="G256" s="15" t="s">
        <v>698</v>
      </c>
      <c r="H256" s="13" t="s">
        <v>24</v>
      </c>
      <c r="I256" s="11" t="s">
        <v>36</v>
      </c>
      <c r="J256" s="11" t="s">
        <v>26</v>
      </c>
      <c r="K256" s="23" t="s">
        <v>27</v>
      </c>
      <c r="L256" s="12"/>
      <c r="M256" s="12" t="s">
        <v>125</v>
      </c>
      <c r="N256" s="18">
        <v>45139</v>
      </c>
      <c r="O256" s="19" t="e">
        <f>#REF!-N256</f>
        <v>#REF!</v>
      </c>
      <c r="P256" s="20" t="e">
        <f t="shared" si="4"/>
        <v>#REF!</v>
      </c>
      <c r="R256" s="36"/>
      <c r="S256" s="36"/>
      <c r="T256" s="21" t="s">
        <v>30</v>
      </c>
    </row>
    <row r="257" spans="1:20" x14ac:dyDescent="0.25">
      <c r="A257" s="9">
        <v>256</v>
      </c>
      <c r="B257" s="10" t="s">
        <v>51</v>
      </c>
      <c r="C257" s="11" t="s">
        <v>52</v>
      </c>
      <c r="D257" s="12"/>
      <c r="E257" s="13" t="s">
        <v>21</v>
      </c>
      <c r="F257" s="11" t="s">
        <v>699</v>
      </c>
      <c r="G257" s="15" t="s">
        <v>700</v>
      </c>
      <c r="H257" s="13" t="s">
        <v>24</v>
      </c>
      <c r="I257" s="11" t="s">
        <v>295</v>
      </c>
      <c r="J257" s="11" t="s">
        <v>61</v>
      </c>
      <c r="K257" s="12" t="s">
        <v>56</v>
      </c>
      <c r="L257" s="13" t="s">
        <v>106</v>
      </c>
      <c r="M257" s="12"/>
      <c r="N257" s="18">
        <v>41948</v>
      </c>
      <c r="O257" s="19" t="e">
        <f>#REF!-N257</f>
        <v>#REF!</v>
      </c>
      <c r="P257" s="20" t="e">
        <f t="shared" si="4"/>
        <v>#REF!</v>
      </c>
      <c r="R257" s="42"/>
      <c r="S257" s="42"/>
      <c r="T257" s="21" t="e">
        <v>#N/A</v>
      </c>
    </row>
    <row r="258" spans="1:20" x14ac:dyDescent="0.25">
      <c r="A258" s="9">
        <v>257</v>
      </c>
      <c r="B258" s="10" t="s">
        <v>51</v>
      </c>
      <c r="C258" s="11" t="s">
        <v>52</v>
      </c>
      <c r="D258" s="12"/>
      <c r="E258" s="13" t="s">
        <v>21</v>
      </c>
      <c r="F258" s="11" t="s">
        <v>701</v>
      </c>
      <c r="G258" s="15" t="s">
        <v>702</v>
      </c>
      <c r="H258" s="13" t="s">
        <v>24</v>
      </c>
      <c r="I258" s="11" t="s">
        <v>200</v>
      </c>
      <c r="J258" s="11" t="s">
        <v>61</v>
      </c>
      <c r="K258" s="12" t="s">
        <v>56</v>
      </c>
      <c r="L258" s="13" t="s">
        <v>106</v>
      </c>
      <c r="M258" s="12"/>
      <c r="N258" s="18">
        <v>45383</v>
      </c>
      <c r="O258" s="19" t="e">
        <f>#REF!-N258</f>
        <v>#REF!</v>
      </c>
      <c r="P258" s="20" t="e">
        <f t="shared" si="4"/>
        <v>#REF!</v>
      </c>
      <c r="R258" s="42"/>
      <c r="S258" s="42"/>
      <c r="T258" s="21" t="e">
        <v>#N/A</v>
      </c>
    </row>
    <row r="259" spans="1:20" x14ac:dyDescent="0.25">
      <c r="A259" s="9">
        <v>258</v>
      </c>
      <c r="B259" s="10" t="s">
        <v>45</v>
      </c>
      <c r="C259" s="11" t="s">
        <v>41</v>
      </c>
      <c r="D259" s="12"/>
      <c r="E259" s="13" t="s">
        <v>21</v>
      </c>
      <c r="F259" s="22" t="s">
        <v>703</v>
      </c>
      <c r="G259" s="15" t="s">
        <v>704</v>
      </c>
      <c r="H259" s="13" t="s">
        <v>24</v>
      </c>
      <c r="I259" s="11" t="s">
        <v>36</v>
      </c>
      <c r="J259" s="11" t="s">
        <v>26</v>
      </c>
      <c r="K259" s="12" t="s">
        <v>27</v>
      </c>
      <c r="L259" s="12"/>
      <c r="M259" s="23" t="s">
        <v>48</v>
      </c>
      <c r="N259" s="18">
        <v>45413</v>
      </c>
      <c r="O259" s="19" t="e">
        <f>#REF!-N259</f>
        <v>#REF!</v>
      </c>
      <c r="P259" s="20" t="e">
        <f t="shared" si="4"/>
        <v>#REF!</v>
      </c>
      <c r="R259" s="35" t="s">
        <v>29</v>
      </c>
      <c r="S259" s="35" t="s">
        <v>29</v>
      </c>
      <c r="T259" s="21" t="s">
        <v>30</v>
      </c>
    </row>
    <row r="260" spans="1:20" x14ac:dyDescent="0.25">
      <c r="A260" s="9">
        <v>259</v>
      </c>
      <c r="B260" s="10" t="s">
        <v>31</v>
      </c>
      <c r="C260" s="11" t="s">
        <v>439</v>
      </c>
      <c r="D260" s="12"/>
      <c r="E260" s="13" t="s">
        <v>21</v>
      </c>
      <c r="F260" s="22" t="s">
        <v>705</v>
      </c>
      <c r="G260" s="15" t="s">
        <v>706</v>
      </c>
      <c r="H260" s="13" t="s">
        <v>24</v>
      </c>
      <c r="I260" s="11" t="s">
        <v>36</v>
      </c>
      <c r="J260" s="11" t="s">
        <v>26</v>
      </c>
      <c r="K260" s="12" t="s">
        <v>27</v>
      </c>
      <c r="L260" s="12"/>
      <c r="M260" s="23" t="s">
        <v>162</v>
      </c>
      <c r="N260" s="18">
        <v>45789</v>
      </c>
      <c r="O260" s="19" t="e">
        <f>#REF!-N260</f>
        <v>#REF!</v>
      </c>
      <c r="P260" s="20" t="e">
        <f t="shared" si="4"/>
        <v>#REF!</v>
      </c>
      <c r="R260" s="35" t="s">
        <v>29</v>
      </c>
      <c r="S260" s="35" t="s">
        <v>29</v>
      </c>
      <c r="T260" s="21" t="s">
        <v>30</v>
      </c>
    </row>
    <row r="261" spans="1:20" x14ac:dyDescent="0.25">
      <c r="A261" s="9">
        <v>260</v>
      </c>
      <c r="B261" s="10" t="s">
        <v>510</v>
      </c>
      <c r="C261" s="11"/>
      <c r="D261" s="12"/>
      <c r="E261" s="13" t="s">
        <v>21</v>
      </c>
      <c r="F261" s="22" t="s">
        <v>707</v>
      </c>
      <c r="G261" s="15" t="s">
        <v>708</v>
      </c>
      <c r="H261" s="13" t="s">
        <v>24</v>
      </c>
      <c r="I261" s="11" t="s">
        <v>36</v>
      </c>
      <c r="J261" s="11" t="s">
        <v>26</v>
      </c>
      <c r="K261" s="12" t="s">
        <v>27</v>
      </c>
      <c r="L261" s="12"/>
      <c r="M261" s="23" t="s">
        <v>215</v>
      </c>
      <c r="N261" s="18">
        <v>45413</v>
      </c>
      <c r="O261" s="19" t="e">
        <f>#REF!-N261</f>
        <v>#REF!</v>
      </c>
      <c r="P261" s="20" t="e">
        <f t="shared" si="4"/>
        <v>#REF!</v>
      </c>
      <c r="R261" s="35" t="s">
        <v>29</v>
      </c>
      <c r="S261" s="35" t="s">
        <v>29</v>
      </c>
      <c r="T261" s="21" t="s">
        <v>30</v>
      </c>
    </row>
    <row r="262" spans="1:20" x14ac:dyDescent="0.25">
      <c r="A262" s="9">
        <v>261</v>
      </c>
      <c r="B262" s="10" t="s">
        <v>51</v>
      </c>
      <c r="C262" s="11" t="s">
        <v>52</v>
      </c>
      <c r="D262" s="12"/>
      <c r="E262" s="13" t="s">
        <v>21</v>
      </c>
      <c r="F262" s="11" t="s">
        <v>709</v>
      </c>
      <c r="G262" s="15" t="s">
        <v>710</v>
      </c>
      <c r="H262" s="13" t="s">
        <v>24</v>
      </c>
      <c r="I262" s="11" t="s">
        <v>100</v>
      </c>
      <c r="J262" s="11" t="s">
        <v>61</v>
      </c>
      <c r="K262" s="12" t="s">
        <v>56</v>
      </c>
      <c r="L262" s="13" t="s">
        <v>106</v>
      </c>
      <c r="M262" s="12"/>
      <c r="N262" s="18">
        <v>45614</v>
      </c>
      <c r="O262" s="19" t="e">
        <f>#REF!-N262</f>
        <v>#REF!</v>
      </c>
      <c r="P262" s="20" t="e">
        <f t="shared" si="4"/>
        <v>#REF!</v>
      </c>
      <c r="R262" s="42"/>
      <c r="S262" s="42"/>
      <c r="T262" s="21" t="e">
        <v>#N/A</v>
      </c>
    </row>
    <row r="263" spans="1:20" x14ac:dyDescent="0.25">
      <c r="A263" s="9">
        <v>262</v>
      </c>
      <c r="B263" s="10" t="s">
        <v>19</v>
      </c>
      <c r="C263" s="11" t="s">
        <v>20</v>
      </c>
      <c r="D263" s="32"/>
      <c r="E263" s="13" t="s">
        <v>21</v>
      </c>
      <c r="F263" s="14" t="s">
        <v>711</v>
      </c>
      <c r="G263" s="15">
        <v>76225325</v>
      </c>
      <c r="H263" s="13" t="s">
        <v>24</v>
      </c>
      <c r="I263" s="11" t="s">
        <v>25</v>
      </c>
      <c r="J263" s="11" t="s">
        <v>26</v>
      </c>
      <c r="K263" s="12" t="s">
        <v>27</v>
      </c>
      <c r="L263" s="12"/>
      <c r="M263" s="17" t="s">
        <v>28</v>
      </c>
      <c r="N263" s="34">
        <v>45901</v>
      </c>
      <c r="O263" s="19" t="e">
        <f>#REF!-N263</f>
        <v>#REF!</v>
      </c>
      <c r="P263" s="20" t="e">
        <f t="shared" si="4"/>
        <v>#REF!</v>
      </c>
      <c r="R263" s="35" t="s">
        <v>29</v>
      </c>
      <c r="S263" s="35" t="s">
        <v>29</v>
      </c>
      <c r="T263" s="21" t="s">
        <v>30</v>
      </c>
    </row>
    <row r="264" spans="1:20" x14ac:dyDescent="0.25">
      <c r="A264" s="9">
        <v>263</v>
      </c>
      <c r="B264" s="10" t="s">
        <v>51</v>
      </c>
      <c r="C264" s="11" t="s">
        <v>52</v>
      </c>
      <c r="D264" s="12"/>
      <c r="E264" s="13" t="s">
        <v>21</v>
      </c>
      <c r="F264" s="11" t="s">
        <v>712</v>
      </c>
      <c r="G264" s="15" t="s">
        <v>713</v>
      </c>
      <c r="H264" s="13" t="s">
        <v>24</v>
      </c>
      <c r="I264" s="11" t="s">
        <v>205</v>
      </c>
      <c r="J264" s="11" t="s">
        <v>61</v>
      </c>
      <c r="K264" s="12" t="s">
        <v>56</v>
      </c>
      <c r="L264" s="13" t="s">
        <v>57</v>
      </c>
      <c r="M264" s="12"/>
      <c r="N264" s="18">
        <v>45383</v>
      </c>
      <c r="O264" s="19" t="e">
        <f>#REF!-N264</f>
        <v>#REF!</v>
      </c>
      <c r="P264" s="20" t="e">
        <f t="shared" si="4"/>
        <v>#REF!</v>
      </c>
      <c r="R264" s="42"/>
      <c r="S264" s="42"/>
      <c r="T264" s="21" t="e">
        <v>#N/A</v>
      </c>
    </row>
    <row r="265" spans="1:20" x14ac:dyDescent="0.25">
      <c r="A265" s="9">
        <v>264</v>
      </c>
      <c r="B265" s="10" t="s">
        <v>40</v>
      </c>
      <c r="C265" s="11" t="s">
        <v>94</v>
      </c>
      <c r="D265" s="12"/>
      <c r="E265" s="13" t="s">
        <v>21</v>
      </c>
      <c r="F265" s="14" t="s">
        <v>714</v>
      </c>
      <c r="G265" s="15" t="s">
        <v>715</v>
      </c>
      <c r="H265" s="13" t="s">
        <v>24</v>
      </c>
      <c r="I265" s="11" t="s">
        <v>55</v>
      </c>
      <c r="J265" s="11" t="s">
        <v>26</v>
      </c>
      <c r="K265" s="12" t="s">
        <v>27</v>
      </c>
      <c r="L265" s="12"/>
      <c r="M265" s="17" t="s">
        <v>97</v>
      </c>
      <c r="N265" s="18">
        <v>45586</v>
      </c>
      <c r="O265" s="19" t="e">
        <f>#REF!-N265</f>
        <v>#REF!</v>
      </c>
      <c r="P265" s="20" t="e">
        <f t="shared" si="4"/>
        <v>#REF!</v>
      </c>
      <c r="R265" s="35" t="s">
        <v>29</v>
      </c>
      <c r="S265" s="35" t="s">
        <v>29</v>
      </c>
      <c r="T265" s="21" t="s">
        <v>30</v>
      </c>
    </row>
    <row r="266" spans="1:20" x14ac:dyDescent="0.25">
      <c r="A266" s="9">
        <v>265</v>
      </c>
      <c r="B266" s="10" t="s">
        <v>19</v>
      </c>
      <c r="C266" s="11" t="s">
        <v>20</v>
      </c>
      <c r="D266" s="12"/>
      <c r="E266" s="13" t="s">
        <v>21</v>
      </c>
      <c r="F266" s="14" t="s">
        <v>716</v>
      </c>
      <c r="G266" s="15" t="s">
        <v>717</v>
      </c>
      <c r="H266" s="13" t="s">
        <v>24</v>
      </c>
      <c r="I266" s="16" t="s">
        <v>25</v>
      </c>
      <c r="J266" s="11" t="s">
        <v>26</v>
      </c>
      <c r="K266" s="12" t="s">
        <v>27</v>
      </c>
      <c r="L266" s="12"/>
      <c r="M266" s="17" t="s">
        <v>28</v>
      </c>
      <c r="N266" s="18">
        <v>45579</v>
      </c>
      <c r="O266" s="19" t="e">
        <f>#REF!-N266</f>
        <v>#REF!</v>
      </c>
      <c r="P266" s="20" t="e">
        <f t="shared" si="4"/>
        <v>#REF!</v>
      </c>
      <c r="R266" s="35" t="s">
        <v>93</v>
      </c>
      <c r="S266" s="35" t="s">
        <v>93</v>
      </c>
      <c r="T266" s="21" t="s">
        <v>30</v>
      </c>
    </row>
    <row r="267" spans="1:20" x14ac:dyDescent="0.25">
      <c r="A267" s="9">
        <v>266</v>
      </c>
      <c r="B267" s="10" t="s">
        <v>19</v>
      </c>
      <c r="C267" s="11" t="s">
        <v>20</v>
      </c>
      <c r="D267" s="12"/>
      <c r="E267" s="13" t="s">
        <v>21</v>
      </c>
      <c r="F267" s="14" t="s">
        <v>718</v>
      </c>
      <c r="G267" s="15" t="s">
        <v>719</v>
      </c>
      <c r="H267" s="13" t="s">
        <v>24</v>
      </c>
      <c r="I267" s="11" t="s">
        <v>36</v>
      </c>
      <c r="J267" s="11" t="s">
        <v>26</v>
      </c>
      <c r="K267" s="12" t="s">
        <v>27</v>
      </c>
      <c r="L267" s="12"/>
      <c r="M267" s="17" t="s">
        <v>28</v>
      </c>
      <c r="N267" s="18">
        <v>43164</v>
      </c>
      <c r="O267" s="19" t="e">
        <f>#REF!-N267</f>
        <v>#REF!</v>
      </c>
      <c r="P267" s="20" t="e">
        <f t="shared" si="4"/>
        <v>#REF!</v>
      </c>
      <c r="R267" s="35" t="s">
        <v>29</v>
      </c>
      <c r="S267" s="35" t="s">
        <v>29</v>
      </c>
      <c r="T267" s="21" t="s">
        <v>30</v>
      </c>
    </row>
    <row r="268" spans="1:20" x14ac:dyDescent="0.25">
      <c r="A268" s="9">
        <v>267</v>
      </c>
      <c r="B268" s="10" t="s">
        <v>40</v>
      </c>
      <c r="C268" s="11" t="s">
        <v>94</v>
      </c>
      <c r="D268" s="32"/>
      <c r="E268" s="13" t="s">
        <v>21</v>
      </c>
      <c r="F268" s="14" t="s">
        <v>720</v>
      </c>
      <c r="G268" s="15">
        <v>45541355</v>
      </c>
      <c r="H268" s="13" t="s">
        <v>24</v>
      </c>
      <c r="I268" s="11" t="s">
        <v>55</v>
      </c>
      <c r="J268" s="11" t="s">
        <v>26</v>
      </c>
      <c r="K268" s="12" t="s">
        <v>27</v>
      </c>
      <c r="L268" s="12"/>
      <c r="M268" s="17" t="s">
        <v>97</v>
      </c>
      <c r="N268" s="34">
        <v>45901</v>
      </c>
      <c r="O268" s="19" t="e">
        <f>#REF!-N268</f>
        <v>#REF!</v>
      </c>
      <c r="P268" s="20" t="e">
        <f t="shared" si="4"/>
        <v>#REF!</v>
      </c>
      <c r="R268" s="36"/>
      <c r="S268" s="36"/>
      <c r="T268" s="21" t="s">
        <v>30</v>
      </c>
    </row>
    <row r="269" spans="1:20" x14ac:dyDescent="0.25">
      <c r="A269" s="9">
        <v>268</v>
      </c>
      <c r="B269" s="10" t="s">
        <v>58</v>
      </c>
      <c r="C269" s="11" t="s">
        <v>721</v>
      </c>
      <c r="D269" s="32"/>
      <c r="E269" s="13" t="s">
        <v>21</v>
      </c>
      <c r="F269" s="22" t="s">
        <v>722</v>
      </c>
      <c r="G269" s="15" t="s">
        <v>723</v>
      </c>
      <c r="H269" s="13" t="s">
        <v>151</v>
      </c>
      <c r="I269" s="11" t="s">
        <v>36</v>
      </c>
      <c r="J269" s="11" t="s">
        <v>26</v>
      </c>
      <c r="K269" s="12" t="s">
        <v>221</v>
      </c>
      <c r="L269" s="12"/>
      <c r="M269" s="23" t="s">
        <v>724</v>
      </c>
      <c r="N269" s="18">
        <v>45888</v>
      </c>
      <c r="O269" s="19" t="e">
        <f>#REF!-N269</f>
        <v>#REF!</v>
      </c>
      <c r="P269" s="20" t="e">
        <f t="shared" si="4"/>
        <v>#REF!</v>
      </c>
      <c r="R269" s="42"/>
      <c r="S269" s="42"/>
      <c r="T269" s="21" t="e">
        <v>#N/A</v>
      </c>
    </row>
    <row r="270" spans="1:20" x14ac:dyDescent="0.25">
      <c r="A270" s="9">
        <v>269</v>
      </c>
      <c r="B270" s="10" t="s">
        <v>45</v>
      </c>
      <c r="C270" s="11" t="s">
        <v>341</v>
      </c>
      <c r="D270" s="32"/>
      <c r="E270" s="13" t="s">
        <v>21</v>
      </c>
      <c r="F270" s="22" t="s">
        <v>725</v>
      </c>
      <c r="G270" s="15" t="s">
        <v>726</v>
      </c>
      <c r="H270" s="13" t="s">
        <v>24</v>
      </c>
      <c r="I270" s="11" t="s">
        <v>36</v>
      </c>
      <c r="J270" s="11" t="s">
        <v>26</v>
      </c>
      <c r="K270" s="12" t="s">
        <v>27</v>
      </c>
      <c r="L270" s="12"/>
      <c r="M270" s="23" t="s">
        <v>344</v>
      </c>
      <c r="N270" s="34">
        <v>45901</v>
      </c>
      <c r="O270" s="19" t="e">
        <f>#REF!-N270</f>
        <v>#REF!</v>
      </c>
      <c r="P270" s="20" t="e">
        <f t="shared" ref="P270:P297" si="5">IF(O270&lt;=180,"NUEVO",IF(O270&lt;=360,"NOVEL",IF(O270&lt;=720,"SENIOR JUNIOR",IF(O270&lt;=1800,"SENIOR","MASTER"))))</f>
        <v>#REF!</v>
      </c>
      <c r="R270" s="36"/>
      <c r="S270" s="36"/>
      <c r="T270" s="21" t="s">
        <v>30</v>
      </c>
    </row>
    <row r="271" spans="1:20" x14ac:dyDescent="0.25">
      <c r="A271" s="9">
        <v>270</v>
      </c>
      <c r="B271" s="10" t="s">
        <v>40</v>
      </c>
      <c r="C271" s="50" t="s">
        <v>41</v>
      </c>
      <c r="D271" s="32"/>
      <c r="E271" s="51" t="s">
        <v>21</v>
      </c>
      <c r="F271" s="14" t="s">
        <v>727</v>
      </c>
      <c r="G271" s="15">
        <v>45922211</v>
      </c>
      <c r="H271" s="13" t="s">
        <v>24</v>
      </c>
      <c r="I271" s="11" t="s">
        <v>55</v>
      </c>
      <c r="J271" s="11" t="s">
        <v>26</v>
      </c>
      <c r="K271" s="12" t="s">
        <v>27</v>
      </c>
      <c r="L271" s="12"/>
      <c r="M271" s="17" t="s">
        <v>71</v>
      </c>
      <c r="N271" s="34">
        <v>45901</v>
      </c>
      <c r="O271" s="19" t="e">
        <f>#REF!-N271</f>
        <v>#REF!</v>
      </c>
      <c r="P271" s="20" t="e">
        <f t="shared" si="5"/>
        <v>#REF!</v>
      </c>
      <c r="R271" s="36"/>
      <c r="S271" s="36"/>
      <c r="T271" s="21" t="s">
        <v>30</v>
      </c>
    </row>
    <row r="272" spans="1:20" x14ac:dyDescent="0.25">
      <c r="A272" s="9">
        <v>271</v>
      </c>
      <c r="B272" s="10" t="s">
        <v>40</v>
      </c>
      <c r="C272" s="11" t="s">
        <v>94</v>
      </c>
      <c r="D272" s="32"/>
      <c r="E272" s="13" t="s">
        <v>21</v>
      </c>
      <c r="F272" s="14" t="s">
        <v>728</v>
      </c>
      <c r="G272" s="15" t="s">
        <v>729</v>
      </c>
      <c r="H272" s="13" t="s">
        <v>151</v>
      </c>
      <c r="I272" s="11" t="s">
        <v>55</v>
      </c>
      <c r="J272" s="11" t="s">
        <v>26</v>
      </c>
      <c r="K272" s="12" t="s">
        <v>27</v>
      </c>
      <c r="L272" s="12"/>
      <c r="M272" s="17" t="s">
        <v>97</v>
      </c>
      <c r="N272" s="34">
        <v>45901</v>
      </c>
      <c r="O272" s="19" t="e">
        <f>#REF!-N272</f>
        <v>#REF!</v>
      </c>
      <c r="P272" s="20" t="e">
        <f t="shared" si="5"/>
        <v>#REF!</v>
      </c>
      <c r="R272" s="36"/>
      <c r="S272" s="36"/>
      <c r="T272" s="21" t="e">
        <v>#N/A</v>
      </c>
    </row>
    <row r="273" spans="1:20" x14ac:dyDescent="0.25">
      <c r="A273" s="9">
        <v>272</v>
      </c>
      <c r="B273" s="10" t="s">
        <v>19</v>
      </c>
      <c r="C273" s="11" t="s">
        <v>109</v>
      </c>
      <c r="D273" s="12" t="s">
        <v>110</v>
      </c>
      <c r="E273" s="13" t="s">
        <v>21</v>
      </c>
      <c r="F273" s="14" t="s">
        <v>730</v>
      </c>
      <c r="G273" s="15" t="s">
        <v>731</v>
      </c>
      <c r="H273" s="13" t="s">
        <v>24</v>
      </c>
      <c r="I273" s="11" t="s">
        <v>517</v>
      </c>
      <c r="J273" s="11" t="s">
        <v>26</v>
      </c>
      <c r="K273" s="12" t="s">
        <v>27</v>
      </c>
      <c r="L273" s="12"/>
      <c r="M273" s="17" t="s">
        <v>113</v>
      </c>
      <c r="N273" s="34">
        <v>45901</v>
      </c>
      <c r="O273" s="19" t="e">
        <f>#REF!-N273</f>
        <v>#REF!</v>
      </c>
      <c r="P273" s="20" t="e">
        <f t="shared" si="5"/>
        <v>#REF!</v>
      </c>
      <c r="R273" s="35" t="s">
        <v>29</v>
      </c>
      <c r="S273" s="35" t="s">
        <v>29</v>
      </c>
      <c r="T273" s="21" t="s">
        <v>30</v>
      </c>
    </row>
    <row r="274" spans="1:20" x14ac:dyDescent="0.25">
      <c r="A274" s="9">
        <v>273</v>
      </c>
      <c r="B274" s="10" t="s">
        <v>51</v>
      </c>
      <c r="C274" s="11" t="s">
        <v>52</v>
      </c>
      <c r="D274" s="32"/>
      <c r="E274" s="13" t="s">
        <v>21</v>
      </c>
      <c r="F274" s="11" t="s">
        <v>732</v>
      </c>
      <c r="G274" s="15" t="s">
        <v>733</v>
      </c>
      <c r="H274" s="13" t="s">
        <v>24</v>
      </c>
      <c r="I274" s="11" t="s">
        <v>100</v>
      </c>
      <c r="J274" s="11" t="s">
        <v>26</v>
      </c>
      <c r="K274" s="12" t="s">
        <v>56</v>
      </c>
      <c r="L274" s="13" t="s">
        <v>106</v>
      </c>
      <c r="M274" s="12"/>
      <c r="N274" s="34">
        <v>45902</v>
      </c>
      <c r="O274" s="19" t="e">
        <f>#REF!-N274</f>
        <v>#REF!</v>
      </c>
      <c r="P274" s="20" t="e">
        <f t="shared" si="5"/>
        <v>#REF!</v>
      </c>
      <c r="R274" s="42"/>
      <c r="S274" s="42"/>
      <c r="T274" s="21" t="e">
        <v>#N/A</v>
      </c>
    </row>
    <row r="275" spans="1:20" x14ac:dyDescent="0.25">
      <c r="A275" s="9">
        <v>274</v>
      </c>
      <c r="B275" s="10" t="s">
        <v>58</v>
      </c>
      <c r="C275" s="11" t="s">
        <v>734</v>
      </c>
      <c r="D275" s="32"/>
      <c r="E275" s="13" t="s">
        <v>21</v>
      </c>
      <c r="F275" s="22" t="s">
        <v>735</v>
      </c>
      <c r="G275" s="15" t="s">
        <v>736</v>
      </c>
      <c r="H275" s="13" t="s">
        <v>24</v>
      </c>
      <c r="I275" s="11" t="s">
        <v>737</v>
      </c>
      <c r="J275" s="11" t="s">
        <v>26</v>
      </c>
      <c r="K275" s="12" t="s">
        <v>738</v>
      </c>
      <c r="L275" s="12"/>
      <c r="M275" s="23"/>
      <c r="N275" s="34">
        <v>45904</v>
      </c>
      <c r="O275" s="19" t="e">
        <f>#REF!-N275</f>
        <v>#REF!</v>
      </c>
      <c r="P275" s="20" t="e">
        <f t="shared" si="5"/>
        <v>#REF!</v>
      </c>
      <c r="R275" s="42"/>
      <c r="S275" s="42"/>
      <c r="T275" s="21" t="e">
        <v>#N/A</v>
      </c>
    </row>
    <row r="276" spans="1:20" x14ac:dyDescent="0.25">
      <c r="A276" s="9">
        <v>275</v>
      </c>
      <c r="B276" s="10" t="s">
        <v>51</v>
      </c>
      <c r="C276" s="11" t="s">
        <v>52</v>
      </c>
      <c r="D276" s="32"/>
      <c r="E276" s="13" t="s">
        <v>21</v>
      </c>
      <c r="F276" s="11" t="s">
        <v>739</v>
      </c>
      <c r="G276" s="15" t="s">
        <v>740</v>
      </c>
      <c r="H276" s="13" t="s">
        <v>24</v>
      </c>
      <c r="I276" s="11" t="s">
        <v>737</v>
      </c>
      <c r="J276" s="11" t="s">
        <v>26</v>
      </c>
      <c r="K276" s="12" t="s">
        <v>298</v>
      </c>
      <c r="L276" s="13" t="s">
        <v>106</v>
      </c>
      <c r="M276" s="12"/>
      <c r="N276" s="34">
        <v>45905</v>
      </c>
      <c r="O276" s="19" t="e">
        <f>#REF!-N276</f>
        <v>#REF!</v>
      </c>
      <c r="P276" s="20" t="e">
        <f t="shared" si="5"/>
        <v>#REF!</v>
      </c>
      <c r="R276" s="42"/>
      <c r="S276" s="42"/>
      <c r="T276" s="21" t="e">
        <v>#N/A</v>
      </c>
    </row>
    <row r="277" spans="1:20" x14ac:dyDescent="0.25">
      <c r="A277" s="9">
        <v>276</v>
      </c>
      <c r="B277" s="10" t="s">
        <v>40</v>
      </c>
      <c r="C277" s="50" t="s">
        <v>41</v>
      </c>
      <c r="D277" s="32"/>
      <c r="E277" s="13" t="s">
        <v>21</v>
      </c>
      <c r="F277" s="14" t="s">
        <v>741</v>
      </c>
      <c r="G277" s="15" t="s">
        <v>742</v>
      </c>
      <c r="H277" s="13" t="s">
        <v>24</v>
      </c>
      <c r="I277" s="11" t="s">
        <v>737</v>
      </c>
      <c r="J277" s="11" t="s">
        <v>26</v>
      </c>
      <c r="K277" s="12" t="s">
        <v>27</v>
      </c>
      <c r="L277" s="12"/>
      <c r="M277" s="17" t="s">
        <v>71</v>
      </c>
      <c r="N277" s="34">
        <v>45910</v>
      </c>
      <c r="O277" s="19" t="e">
        <f>#REF!-N277</f>
        <v>#REF!</v>
      </c>
      <c r="P277" s="20" t="e">
        <f t="shared" si="5"/>
        <v>#REF!</v>
      </c>
      <c r="R277" s="36"/>
      <c r="S277" s="36"/>
      <c r="T277" s="21" t="s">
        <v>30</v>
      </c>
    </row>
    <row r="278" spans="1:20" x14ac:dyDescent="0.25">
      <c r="A278" s="9">
        <v>277</v>
      </c>
      <c r="B278" s="10" t="s">
        <v>40</v>
      </c>
      <c r="C278" s="50" t="s">
        <v>41</v>
      </c>
      <c r="D278" s="32"/>
      <c r="E278" s="13" t="s">
        <v>21</v>
      </c>
      <c r="F278" s="22" t="s">
        <v>743</v>
      </c>
      <c r="G278" s="52" t="s">
        <v>744</v>
      </c>
      <c r="H278" s="53" t="s">
        <v>24</v>
      </c>
      <c r="I278" s="54" t="s">
        <v>36</v>
      </c>
      <c r="J278" s="11" t="s">
        <v>26</v>
      </c>
      <c r="K278" s="12" t="s">
        <v>27</v>
      </c>
      <c r="L278" s="12"/>
      <c r="M278" s="23" t="s">
        <v>44</v>
      </c>
      <c r="N278" s="34">
        <v>45915</v>
      </c>
      <c r="O278" s="19" t="e">
        <f>#REF!-N278</f>
        <v>#REF!</v>
      </c>
      <c r="P278" s="20" t="e">
        <f t="shared" si="5"/>
        <v>#REF!</v>
      </c>
      <c r="R278" s="35" t="s">
        <v>93</v>
      </c>
      <c r="S278" s="35" t="s">
        <v>93</v>
      </c>
      <c r="T278" s="21" t="s">
        <v>30</v>
      </c>
    </row>
    <row r="279" spans="1:20" x14ac:dyDescent="0.25">
      <c r="A279" s="9">
        <v>278</v>
      </c>
      <c r="B279" s="10" t="s">
        <v>51</v>
      </c>
      <c r="C279" s="11" t="s">
        <v>52</v>
      </c>
      <c r="D279" s="32"/>
      <c r="E279" s="13" t="s">
        <v>21</v>
      </c>
      <c r="F279" s="50" t="s">
        <v>745</v>
      </c>
      <c r="G279" s="15" t="s">
        <v>746</v>
      </c>
      <c r="H279" s="13" t="s">
        <v>24</v>
      </c>
      <c r="I279" s="11" t="s">
        <v>737</v>
      </c>
      <c r="J279" s="55" t="s">
        <v>26</v>
      </c>
      <c r="K279" s="12" t="s">
        <v>298</v>
      </c>
      <c r="L279" s="56"/>
      <c r="M279" s="12"/>
      <c r="N279" s="34">
        <v>45916</v>
      </c>
      <c r="O279" s="19" t="e">
        <f>#REF!-N279</f>
        <v>#REF!</v>
      </c>
      <c r="P279" s="20" t="e">
        <f t="shared" si="5"/>
        <v>#REF!</v>
      </c>
      <c r="R279" s="42"/>
      <c r="S279" s="42"/>
      <c r="T279" s="21" t="e">
        <v>#N/A</v>
      </c>
    </row>
    <row r="280" spans="1:20" x14ac:dyDescent="0.25">
      <c r="A280" s="9">
        <v>279</v>
      </c>
      <c r="B280" s="10" t="s">
        <v>19</v>
      </c>
      <c r="C280" s="11" t="s">
        <v>20</v>
      </c>
      <c r="D280" s="12"/>
      <c r="E280" s="13" t="s">
        <v>21</v>
      </c>
      <c r="F280" s="14" t="s">
        <v>747</v>
      </c>
      <c r="G280" s="15" t="s">
        <v>748</v>
      </c>
      <c r="H280" s="53" t="s">
        <v>24</v>
      </c>
      <c r="I280" s="57" t="s">
        <v>25</v>
      </c>
      <c r="J280" s="55" t="s">
        <v>26</v>
      </c>
      <c r="K280" s="12" t="s">
        <v>27</v>
      </c>
      <c r="L280" s="12"/>
      <c r="M280" s="17" t="s">
        <v>116</v>
      </c>
      <c r="N280" s="18">
        <v>45444</v>
      </c>
      <c r="O280" s="19" t="e">
        <f>#REF!-N280</f>
        <v>#REF!</v>
      </c>
      <c r="P280" s="20" t="e">
        <f t="shared" si="5"/>
        <v>#REF!</v>
      </c>
      <c r="R280" s="35" t="s">
        <v>93</v>
      </c>
      <c r="S280" s="35" t="s">
        <v>93</v>
      </c>
      <c r="T280" s="21" t="s">
        <v>30</v>
      </c>
    </row>
    <row r="281" spans="1:20" x14ac:dyDescent="0.25">
      <c r="A281" s="9">
        <v>280</v>
      </c>
      <c r="B281" s="10" t="s">
        <v>19</v>
      </c>
      <c r="C281" s="11" t="s">
        <v>20</v>
      </c>
      <c r="D281" s="12"/>
      <c r="E281" s="13" t="s">
        <v>21</v>
      </c>
      <c r="F281" s="14" t="s">
        <v>749</v>
      </c>
      <c r="G281" s="15" t="s">
        <v>750</v>
      </c>
      <c r="H281" s="53" t="s">
        <v>24</v>
      </c>
      <c r="I281" s="57" t="s">
        <v>25</v>
      </c>
      <c r="J281" s="55" t="s">
        <v>26</v>
      </c>
      <c r="K281" s="12" t="s">
        <v>27</v>
      </c>
      <c r="L281" s="12"/>
      <c r="M281" s="17" t="s">
        <v>116</v>
      </c>
      <c r="N281" s="18">
        <v>45824</v>
      </c>
      <c r="O281" s="19" t="e">
        <f>#REF!-N281</f>
        <v>#REF!</v>
      </c>
      <c r="P281" s="20" t="e">
        <f t="shared" si="5"/>
        <v>#REF!</v>
      </c>
      <c r="R281" s="35" t="s">
        <v>29</v>
      </c>
      <c r="S281" s="35" t="s">
        <v>29</v>
      </c>
      <c r="T281" s="21" t="s">
        <v>30</v>
      </c>
    </row>
    <row r="282" spans="1:20" x14ac:dyDescent="0.25">
      <c r="A282" s="9">
        <v>281</v>
      </c>
      <c r="B282" s="10" t="s">
        <v>121</v>
      </c>
      <c r="C282" s="50" t="s">
        <v>122</v>
      </c>
      <c r="D282" s="32"/>
      <c r="E282" s="58" t="s">
        <v>21</v>
      </c>
      <c r="F282" s="22" t="s">
        <v>751</v>
      </c>
      <c r="G282" s="15" t="s">
        <v>752</v>
      </c>
      <c r="H282" s="53" t="s">
        <v>24</v>
      </c>
      <c r="I282" s="54" t="s">
        <v>737</v>
      </c>
      <c r="J282" s="55" t="s">
        <v>26</v>
      </c>
      <c r="K282" s="23" t="s">
        <v>27</v>
      </c>
      <c r="L282" s="12"/>
      <c r="M282" s="12" t="s">
        <v>125</v>
      </c>
      <c r="N282" s="34">
        <v>45910</v>
      </c>
      <c r="O282" s="19" t="e">
        <f>#REF!-N282</f>
        <v>#REF!</v>
      </c>
      <c r="P282" s="20" t="e">
        <f t="shared" si="5"/>
        <v>#REF!</v>
      </c>
      <c r="R282" s="36" t="s">
        <v>93</v>
      </c>
      <c r="S282" s="36" t="s">
        <v>93</v>
      </c>
      <c r="T282" s="21" t="s">
        <v>753</v>
      </c>
    </row>
    <row r="283" spans="1:20" ht="12.75" customHeight="1" x14ac:dyDescent="0.25">
      <c r="A283" s="9">
        <v>282</v>
      </c>
      <c r="B283" s="10" t="s">
        <v>45</v>
      </c>
      <c r="C283" s="11" t="s">
        <v>341</v>
      </c>
      <c r="D283" s="32"/>
      <c r="E283" s="58" t="s">
        <v>21</v>
      </c>
      <c r="F283" s="22" t="s">
        <v>754</v>
      </c>
      <c r="G283" s="15">
        <v>77049296</v>
      </c>
      <c r="H283" s="53" t="s">
        <v>24</v>
      </c>
      <c r="I283" s="11" t="s">
        <v>36</v>
      </c>
      <c r="J283" s="55" t="s">
        <v>26</v>
      </c>
      <c r="K283" s="12" t="s">
        <v>27</v>
      </c>
      <c r="L283" s="12"/>
      <c r="M283" s="23" t="s">
        <v>344</v>
      </c>
      <c r="N283" s="34">
        <v>45917</v>
      </c>
      <c r="O283" s="19" t="e">
        <f>#REF!-N283</f>
        <v>#REF!</v>
      </c>
      <c r="P283" s="20" t="e">
        <f t="shared" si="5"/>
        <v>#REF!</v>
      </c>
      <c r="R283" s="36"/>
      <c r="S283" s="36"/>
      <c r="T283" s="21"/>
    </row>
    <row r="284" spans="1:20" x14ac:dyDescent="0.25">
      <c r="A284" s="9">
        <v>283</v>
      </c>
      <c r="B284" s="10" t="s">
        <v>121</v>
      </c>
      <c r="C284" s="50" t="s">
        <v>122</v>
      </c>
      <c r="D284" s="32"/>
      <c r="E284" s="58" t="s">
        <v>21</v>
      </c>
      <c r="F284" s="22" t="s">
        <v>755</v>
      </c>
      <c r="G284" s="15">
        <v>45463214</v>
      </c>
      <c r="H284" s="53" t="s">
        <v>24</v>
      </c>
      <c r="I284" s="47" t="s">
        <v>36</v>
      </c>
      <c r="J284" s="55" t="s">
        <v>26</v>
      </c>
      <c r="K284" s="23" t="s">
        <v>56</v>
      </c>
      <c r="L284" s="12"/>
      <c r="M284" s="12" t="s">
        <v>125</v>
      </c>
      <c r="N284" s="18">
        <v>45931</v>
      </c>
      <c r="O284" s="19" t="e">
        <f>#REF!-N284</f>
        <v>#REF!</v>
      </c>
      <c r="P284" s="20" t="e">
        <f t="shared" si="5"/>
        <v>#REF!</v>
      </c>
      <c r="R284" s="36"/>
      <c r="S284" s="36"/>
      <c r="T284" s="21"/>
    </row>
    <row r="285" spans="1:20" x14ac:dyDescent="0.25">
      <c r="A285" s="9">
        <v>284</v>
      </c>
      <c r="B285" s="10" t="s">
        <v>121</v>
      </c>
      <c r="C285" s="50" t="s">
        <v>122</v>
      </c>
      <c r="D285" s="32"/>
      <c r="E285" s="58" t="s">
        <v>21</v>
      </c>
      <c r="F285" s="22" t="s">
        <v>756</v>
      </c>
      <c r="G285" s="15">
        <v>71560020</v>
      </c>
      <c r="H285" s="53" t="s">
        <v>24</v>
      </c>
      <c r="I285" s="11" t="s">
        <v>36</v>
      </c>
      <c r="J285" s="55" t="s">
        <v>26</v>
      </c>
      <c r="K285" s="23" t="s">
        <v>27</v>
      </c>
      <c r="L285" s="12"/>
      <c r="M285" s="12" t="s">
        <v>125</v>
      </c>
      <c r="N285" s="18">
        <v>45931</v>
      </c>
      <c r="O285" s="19" t="e">
        <f>#REF!-N285</f>
        <v>#REF!</v>
      </c>
      <c r="P285" s="20" t="e">
        <f t="shared" si="5"/>
        <v>#REF!</v>
      </c>
      <c r="R285" s="36"/>
      <c r="S285" s="36"/>
      <c r="T285" s="21"/>
    </row>
    <row r="286" spans="1:20" x14ac:dyDescent="0.25">
      <c r="A286" s="9">
        <v>285</v>
      </c>
      <c r="B286" s="10" t="s">
        <v>40</v>
      </c>
      <c r="C286" s="11" t="s">
        <v>272</v>
      </c>
      <c r="D286" s="32"/>
      <c r="E286" s="58" t="s">
        <v>21</v>
      </c>
      <c r="F286" s="14" t="s">
        <v>757</v>
      </c>
      <c r="G286" s="15">
        <v>47988306</v>
      </c>
      <c r="H286" s="53" t="s">
        <v>24</v>
      </c>
      <c r="I286" s="11" t="s">
        <v>36</v>
      </c>
      <c r="J286" s="55" t="s">
        <v>26</v>
      </c>
      <c r="K286" s="12" t="s">
        <v>27</v>
      </c>
      <c r="L286" s="12"/>
      <c r="M286" s="17" t="s">
        <v>275</v>
      </c>
      <c r="N286" s="18">
        <v>45931</v>
      </c>
      <c r="O286" s="19" t="e">
        <f>#REF!-N286</f>
        <v>#REF!</v>
      </c>
      <c r="P286" s="20" t="e">
        <f t="shared" si="5"/>
        <v>#REF!</v>
      </c>
      <c r="R286" s="36"/>
      <c r="S286" s="36"/>
      <c r="T286" s="21"/>
    </row>
    <row r="287" spans="1:20" x14ac:dyDescent="0.25">
      <c r="A287" s="9">
        <v>286</v>
      </c>
      <c r="B287" s="10" t="s">
        <v>19</v>
      </c>
      <c r="C287" s="11" t="s">
        <v>109</v>
      </c>
      <c r="D287" s="12" t="s">
        <v>146</v>
      </c>
      <c r="E287" s="58" t="s">
        <v>21</v>
      </c>
      <c r="F287" s="14" t="s">
        <v>758</v>
      </c>
      <c r="G287" s="15">
        <v>78804559</v>
      </c>
      <c r="H287" s="53" t="s">
        <v>24</v>
      </c>
      <c r="I287" s="11" t="s">
        <v>517</v>
      </c>
      <c r="J287" s="55" t="s">
        <v>26</v>
      </c>
      <c r="K287" s="12" t="s">
        <v>27</v>
      </c>
      <c r="L287" s="12"/>
      <c r="M287" s="17" t="s">
        <v>113</v>
      </c>
      <c r="N287" s="18">
        <v>45931</v>
      </c>
      <c r="O287" s="19" t="e">
        <f>#REF!-N287</f>
        <v>#REF!</v>
      </c>
      <c r="P287" s="20" t="e">
        <f t="shared" si="5"/>
        <v>#REF!</v>
      </c>
      <c r="R287" s="36"/>
      <c r="S287" s="36"/>
      <c r="T287" s="21"/>
    </row>
    <row r="288" spans="1:20" x14ac:dyDescent="0.25">
      <c r="A288" s="9">
        <v>287</v>
      </c>
      <c r="B288" s="10" t="s">
        <v>40</v>
      </c>
      <c r="C288" s="50" t="s">
        <v>41</v>
      </c>
      <c r="D288" s="32"/>
      <c r="E288" s="58" t="s">
        <v>21</v>
      </c>
      <c r="F288" s="14" t="s">
        <v>759</v>
      </c>
      <c r="G288" s="15">
        <v>74585492</v>
      </c>
      <c r="H288" s="53" t="s">
        <v>24</v>
      </c>
      <c r="I288" s="11" t="s">
        <v>737</v>
      </c>
      <c r="J288" s="55" t="s">
        <v>26</v>
      </c>
      <c r="K288" s="12" t="s">
        <v>27</v>
      </c>
      <c r="L288" s="12"/>
      <c r="M288" s="17" t="s">
        <v>71</v>
      </c>
      <c r="N288" s="18">
        <v>45931</v>
      </c>
      <c r="O288" s="19" t="e">
        <f>#REF!-N288</f>
        <v>#REF!</v>
      </c>
      <c r="P288" s="20" t="e">
        <f t="shared" si="5"/>
        <v>#REF!</v>
      </c>
      <c r="R288" s="36"/>
      <c r="S288" s="36"/>
      <c r="T288" s="21"/>
    </row>
    <row r="289" spans="1:20" x14ac:dyDescent="0.25">
      <c r="A289" s="9">
        <v>288</v>
      </c>
      <c r="B289" s="10" t="s">
        <v>31</v>
      </c>
      <c r="C289" s="50" t="s">
        <v>193</v>
      </c>
      <c r="D289" s="32"/>
      <c r="E289" s="58" t="s">
        <v>21</v>
      </c>
      <c r="F289" s="22" t="s">
        <v>760</v>
      </c>
      <c r="G289" s="15">
        <v>42759905</v>
      </c>
      <c r="H289" s="53" t="s">
        <v>24</v>
      </c>
      <c r="I289" s="12" t="s">
        <v>36</v>
      </c>
      <c r="J289" s="12" t="s">
        <v>26</v>
      </c>
      <c r="K289" s="23" t="s">
        <v>27</v>
      </c>
      <c r="L289" s="12"/>
      <c r="M289" s="12" t="s">
        <v>162</v>
      </c>
      <c r="N289" s="18">
        <v>45931</v>
      </c>
      <c r="O289" s="19" t="e">
        <f>#REF!-N289</f>
        <v>#REF!</v>
      </c>
      <c r="P289" s="20" t="e">
        <f t="shared" si="5"/>
        <v>#REF!</v>
      </c>
      <c r="R289" s="36"/>
      <c r="S289" s="36"/>
      <c r="T289" s="21"/>
    </row>
    <row r="290" spans="1:20" x14ac:dyDescent="0.25">
      <c r="A290" s="9">
        <v>289</v>
      </c>
      <c r="B290" s="10" t="s">
        <v>58</v>
      </c>
      <c r="C290" s="11" t="s">
        <v>761</v>
      </c>
      <c r="D290" s="32"/>
      <c r="E290" s="58" t="s">
        <v>21</v>
      </c>
      <c r="F290" s="22" t="s">
        <v>762</v>
      </c>
      <c r="G290" s="15">
        <v>72606969</v>
      </c>
      <c r="H290" s="53" t="s">
        <v>151</v>
      </c>
      <c r="I290" s="12" t="s">
        <v>517</v>
      </c>
      <c r="J290" s="12" t="s">
        <v>26</v>
      </c>
      <c r="K290" s="12" t="s">
        <v>763</v>
      </c>
      <c r="L290" s="12"/>
      <c r="M290" s="23"/>
      <c r="N290" s="18">
        <v>45936</v>
      </c>
      <c r="O290" s="19" t="e">
        <f>#REF!-N290</f>
        <v>#REF!</v>
      </c>
      <c r="P290" s="20" t="e">
        <f t="shared" si="5"/>
        <v>#REF!</v>
      </c>
      <c r="R290" s="36"/>
      <c r="S290" s="36"/>
      <c r="T290" s="21"/>
    </row>
    <row r="291" spans="1:20" x14ac:dyDescent="0.25">
      <c r="A291" s="9">
        <v>290</v>
      </c>
      <c r="B291" s="10" t="s">
        <v>40</v>
      </c>
      <c r="C291" s="50" t="s">
        <v>41</v>
      </c>
      <c r="D291" s="32"/>
      <c r="E291" s="58" t="s">
        <v>21</v>
      </c>
      <c r="F291" s="14" t="s">
        <v>764</v>
      </c>
      <c r="G291" s="15" t="s">
        <v>765</v>
      </c>
      <c r="H291" s="53" t="s">
        <v>24</v>
      </c>
      <c r="I291" s="12" t="s">
        <v>737</v>
      </c>
      <c r="J291" s="12" t="s">
        <v>26</v>
      </c>
      <c r="K291" s="12" t="s">
        <v>766</v>
      </c>
      <c r="L291" s="12"/>
      <c r="M291" s="17" t="s">
        <v>71</v>
      </c>
      <c r="N291" s="18">
        <v>45939</v>
      </c>
      <c r="O291" s="19" t="e">
        <f>#REF!-N291</f>
        <v>#REF!</v>
      </c>
      <c r="P291" s="20" t="e">
        <f t="shared" si="5"/>
        <v>#REF!</v>
      </c>
      <c r="R291" s="36"/>
      <c r="S291" s="36"/>
      <c r="T291" s="21"/>
    </row>
    <row r="292" spans="1:20" x14ac:dyDescent="0.25">
      <c r="A292" s="9">
        <v>291</v>
      </c>
      <c r="B292" s="10" t="s">
        <v>121</v>
      </c>
      <c r="C292" s="50" t="s">
        <v>563</v>
      </c>
      <c r="D292" s="32"/>
      <c r="E292" s="58" t="s">
        <v>21</v>
      </c>
      <c r="F292" s="22" t="s">
        <v>767</v>
      </c>
      <c r="G292" s="15" t="s">
        <v>768</v>
      </c>
      <c r="H292" s="53" t="s">
        <v>24</v>
      </c>
      <c r="I292" s="12" t="s">
        <v>36</v>
      </c>
      <c r="J292" s="12" t="s">
        <v>26</v>
      </c>
      <c r="K292" s="12" t="s">
        <v>766</v>
      </c>
      <c r="L292" s="12"/>
      <c r="M292" s="23" t="s">
        <v>162</v>
      </c>
      <c r="N292" s="18">
        <v>45943</v>
      </c>
      <c r="O292" s="19" t="e">
        <f>#REF!-N292</f>
        <v>#REF!</v>
      </c>
      <c r="P292" s="20" t="e">
        <f t="shared" si="5"/>
        <v>#REF!</v>
      </c>
      <c r="R292" s="36"/>
      <c r="S292" s="36"/>
      <c r="T292" s="21"/>
    </row>
    <row r="293" spans="1:20" x14ac:dyDescent="0.25">
      <c r="A293" s="9">
        <v>292</v>
      </c>
      <c r="B293" s="10" t="s">
        <v>40</v>
      </c>
      <c r="C293" s="50" t="s">
        <v>41</v>
      </c>
      <c r="D293" s="32"/>
      <c r="E293" s="58" t="s">
        <v>21</v>
      </c>
      <c r="F293" s="22" t="s">
        <v>769</v>
      </c>
      <c r="G293" s="15" t="s">
        <v>770</v>
      </c>
      <c r="H293" s="53" t="s">
        <v>24</v>
      </c>
      <c r="I293" s="12" t="s">
        <v>36</v>
      </c>
      <c r="J293" s="12" t="s">
        <v>26</v>
      </c>
      <c r="K293" s="12" t="s">
        <v>766</v>
      </c>
      <c r="L293" s="12"/>
      <c r="M293" s="23" t="s">
        <v>44</v>
      </c>
      <c r="N293" s="18">
        <v>45943</v>
      </c>
      <c r="O293" s="19" t="e">
        <f>#REF!-N293</f>
        <v>#REF!</v>
      </c>
      <c r="P293" s="20" t="e">
        <f t="shared" si="5"/>
        <v>#REF!</v>
      </c>
      <c r="R293" s="36"/>
      <c r="S293" s="36"/>
      <c r="T293" s="21"/>
    </row>
    <row r="294" spans="1:20" x14ac:dyDescent="0.25">
      <c r="A294" s="9">
        <v>293</v>
      </c>
      <c r="B294" s="10" t="s">
        <v>58</v>
      </c>
      <c r="C294" s="50"/>
      <c r="D294" s="32"/>
      <c r="E294" s="58" t="s">
        <v>21</v>
      </c>
      <c r="F294" s="22" t="s">
        <v>771</v>
      </c>
      <c r="G294" s="15" t="s">
        <v>772</v>
      </c>
      <c r="H294" s="53" t="s">
        <v>61</v>
      </c>
      <c r="I294" s="12" t="s">
        <v>36</v>
      </c>
      <c r="J294" s="12" t="s">
        <v>26</v>
      </c>
      <c r="K294" s="12" t="s">
        <v>773</v>
      </c>
      <c r="L294" s="12"/>
      <c r="M294" s="23" t="s">
        <v>774</v>
      </c>
      <c r="N294" s="18">
        <v>45944</v>
      </c>
      <c r="O294" s="19" t="e">
        <f>#REF!-N294</f>
        <v>#REF!</v>
      </c>
      <c r="P294" s="20" t="e">
        <f t="shared" si="5"/>
        <v>#REF!</v>
      </c>
      <c r="R294" s="36"/>
      <c r="S294" s="36"/>
      <c r="T294" s="21"/>
    </row>
    <row r="295" spans="1:20" x14ac:dyDescent="0.25">
      <c r="A295" s="9">
        <v>294</v>
      </c>
      <c r="B295" s="10" t="s">
        <v>40</v>
      </c>
      <c r="C295" s="50" t="s">
        <v>41</v>
      </c>
      <c r="D295" s="32"/>
      <c r="E295" s="58" t="s">
        <v>21</v>
      </c>
      <c r="F295" s="14" t="s">
        <v>775</v>
      </c>
      <c r="G295" s="15" t="s">
        <v>776</v>
      </c>
      <c r="H295" s="53" t="s">
        <v>24</v>
      </c>
      <c r="I295" s="12" t="s">
        <v>737</v>
      </c>
      <c r="J295" s="12" t="s">
        <v>26</v>
      </c>
      <c r="K295" s="12" t="s">
        <v>766</v>
      </c>
      <c r="L295" s="12"/>
      <c r="M295" s="17" t="s">
        <v>71</v>
      </c>
      <c r="N295" s="18">
        <v>45950</v>
      </c>
      <c r="O295" s="19" t="e">
        <f>#REF!-N295</f>
        <v>#REF!</v>
      </c>
      <c r="P295" s="20" t="e">
        <f t="shared" si="5"/>
        <v>#REF!</v>
      </c>
      <c r="R295" s="36"/>
      <c r="S295" s="36"/>
      <c r="T295" s="21"/>
    </row>
    <row r="296" spans="1:20" x14ac:dyDescent="0.25">
      <c r="A296" s="9">
        <v>295</v>
      </c>
      <c r="B296" s="10" t="s">
        <v>40</v>
      </c>
      <c r="C296" s="50" t="s">
        <v>41</v>
      </c>
      <c r="D296" s="32"/>
      <c r="E296" s="58" t="s">
        <v>21</v>
      </c>
      <c r="F296" s="14" t="s">
        <v>777</v>
      </c>
      <c r="G296" s="15" t="s">
        <v>778</v>
      </c>
      <c r="H296" s="53" t="s">
        <v>24</v>
      </c>
      <c r="I296" s="12" t="s">
        <v>737</v>
      </c>
      <c r="J296" s="12" t="s">
        <v>26</v>
      </c>
      <c r="K296" s="12" t="s">
        <v>766</v>
      </c>
      <c r="L296" s="12"/>
      <c r="M296" s="17" t="s">
        <v>71</v>
      </c>
      <c r="N296" s="18">
        <v>45950</v>
      </c>
      <c r="O296" s="19" t="e">
        <f>#REF!-N296</f>
        <v>#REF!</v>
      </c>
      <c r="P296" s="20" t="e">
        <f t="shared" si="5"/>
        <v>#REF!</v>
      </c>
      <c r="R296" s="36"/>
      <c r="S296" s="36"/>
      <c r="T296" s="21"/>
    </row>
    <row r="297" spans="1:20" x14ac:dyDescent="0.25">
      <c r="A297" s="9">
        <v>296</v>
      </c>
      <c r="B297" s="10" t="s">
        <v>40</v>
      </c>
      <c r="C297" s="50" t="s">
        <v>41</v>
      </c>
      <c r="D297" s="32"/>
      <c r="E297" s="58" t="s">
        <v>21</v>
      </c>
      <c r="F297" s="14" t="s">
        <v>779</v>
      </c>
      <c r="G297" s="15" t="s">
        <v>780</v>
      </c>
      <c r="H297" s="53" t="s">
        <v>24</v>
      </c>
      <c r="I297" s="12" t="s">
        <v>737</v>
      </c>
      <c r="J297" s="12" t="s">
        <v>26</v>
      </c>
      <c r="K297" s="12" t="s">
        <v>766</v>
      </c>
      <c r="L297" s="12"/>
      <c r="M297" s="17" t="s">
        <v>71</v>
      </c>
      <c r="N297" s="18">
        <v>45952</v>
      </c>
      <c r="O297" s="19" t="e">
        <f>#REF!-N297</f>
        <v>#REF!</v>
      </c>
      <c r="P297" s="20" t="e">
        <f t="shared" si="5"/>
        <v>#REF!</v>
      </c>
      <c r="R297" s="36"/>
      <c r="S297" s="36"/>
      <c r="T297" s="21"/>
    </row>
    <row r="298" spans="1:20" x14ac:dyDescent="0.25">
      <c r="A298" s="9"/>
      <c r="B298" s="10"/>
      <c r="C298" s="50"/>
      <c r="D298" s="32"/>
      <c r="E298" s="58"/>
      <c r="F298" s="41"/>
      <c r="G298" s="15"/>
      <c r="H298" s="53"/>
      <c r="I298" s="11"/>
      <c r="J298" s="55"/>
      <c r="K298" s="12"/>
      <c r="L298" s="12"/>
      <c r="M298" s="12"/>
      <c r="N298" s="18"/>
      <c r="O298" s="19"/>
      <c r="P298" s="20"/>
      <c r="R298" s="36"/>
      <c r="S298" s="36"/>
      <c r="T298" s="21"/>
    </row>
    <row r="299" spans="1:20" x14ac:dyDescent="0.25">
      <c r="A299" s="9"/>
      <c r="B299" s="10"/>
      <c r="C299" s="50"/>
      <c r="D299" s="32"/>
      <c r="E299" s="58"/>
      <c r="F299" s="41"/>
      <c r="G299" s="15"/>
      <c r="H299" s="53"/>
      <c r="I299" s="11"/>
      <c r="J299" s="55"/>
      <c r="K299" s="12"/>
      <c r="L299" s="12"/>
      <c r="M299" s="12"/>
      <c r="N299" s="18"/>
      <c r="O299" s="19"/>
      <c r="P299" s="20"/>
      <c r="R299" s="36"/>
      <c r="S299" s="36"/>
      <c r="T299" s="21"/>
    </row>
    <row r="300" spans="1:20" x14ac:dyDescent="0.25">
      <c r="A300" s="9"/>
      <c r="B300" s="10"/>
      <c r="C300" s="50"/>
      <c r="D300" s="32"/>
      <c r="E300" s="58"/>
      <c r="F300" s="41"/>
      <c r="G300" s="15"/>
      <c r="H300" s="53"/>
      <c r="I300" s="11"/>
      <c r="J300" s="55"/>
      <c r="K300" s="12"/>
      <c r="L300" s="12"/>
      <c r="M300" s="12"/>
      <c r="N300" s="18"/>
      <c r="O300" s="19"/>
      <c r="P300" s="20"/>
      <c r="R300" s="36"/>
      <c r="S300" s="36"/>
      <c r="T300" s="21"/>
    </row>
    <row r="301" spans="1:20" x14ac:dyDescent="0.25">
      <c r="A301" s="9"/>
      <c r="B301" s="10"/>
      <c r="C301" s="50"/>
      <c r="D301" s="32"/>
      <c r="E301" s="58"/>
      <c r="F301" s="41"/>
      <c r="G301" s="15"/>
      <c r="H301" s="53"/>
      <c r="I301" s="11"/>
      <c r="J301" s="55"/>
      <c r="K301" s="12"/>
      <c r="L301" s="12"/>
      <c r="M301" s="12"/>
      <c r="N301" s="18"/>
      <c r="O301" s="19"/>
      <c r="P301" s="20"/>
      <c r="R301" s="36"/>
      <c r="S301" s="36"/>
      <c r="T301" s="21"/>
    </row>
    <row r="302" spans="1:20" x14ac:dyDescent="0.25">
      <c r="A302" s="9"/>
      <c r="B302" s="10"/>
      <c r="C302" s="50"/>
      <c r="D302" s="32"/>
      <c r="E302" s="58"/>
      <c r="F302" s="41"/>
      <c r="G302" s="15"/>
      <c r="H302" s="53"/>
      <c r="I302" s="11"/>
      <c r="J302" s="55"/>
      <c r="K302" s="12"/>
      <c r="L302" s="12"/>
      <c r="M302" s="12"/>
      <c r="N302" s="18"/>
      <c r="O302" s="19"/>
      <c r="P302" s="20"/>
      <c r="R302" s="36"/>
      <c r="S302" s="36"/>
      <c r="T302" s="21"/>
    </row>
    <row r="303" spans="1:20" x14ac:dyDescent="0.25">
      <c r="A303" s="9"/>
      <c r="B303" s="10"/>
      <c r="C303" s="50"/>
      <c r="D303" s="32"/>
      <c r="E303" s="58"/>
      <c r="F303" s="41"/>
      <c r="G303" s="15"/>
      <c r="H303" s="53"/>
      <c r="I303" s="11"/>
      <c r="J303" s="55"/>
      <c r="K303" s="12"/>
      <c r="L303" s="12"/>
      <c r="M303" s="12"/>
      <c r="N303" s="18"/>
      <c r="O303" s="19"/>
      <c r="P303" s="20"/>
      <c r="R303" s="36"/>
      <c r="S303" s="36"/>
      <c r="T303" s="21"/>
    </row>
    <row r="304" spans="1:20" x14ac:dyDescent="0.25">
      <c r="A304" s="9"/>
      <c r="B304" s="10"/>
      <c r="C304" s="50"/>
      <c r="D304" s="32"/>
      <c r="E304" s="58"/>
      <c r="F304" s="41"/>
      <c r="G304" s="15"/>
      <c r="H304" s="53"/>
      <c r="I304" s="11"/>
      <c r="J304" s="55"/>
      <c r="K304" s="12"/>
      <c r="L304" s="12"/>
      <c r="M304" s="12"/>
      <c r="N304" s="18"/>
      <c r="O304" s="19"/>
      <c r="P304" s="20"/>
      <c r="R304" s="36"/>
      <c r="S304" s="36"/>
      <c r="T304" s="21"/>
    </row>
    <row r="305" spans="1:20" x14ac:dyDescent="0.25">
      <c r="A305" s="9"/>
      <c r="B305" s="10"/>
      <c r="C305" s="50"/>
      <c r="D305" s="32"/>
      <c r="E305" s="58"/>
      <c r="F305" s="41"/>
      <c r="G305" s="15"/>
      <c r="H305" s="53"/>
      <c r="I305" s="11"/>
      <c r="J305" s="55"/>
      <c r="K305" s="12"/>
      <c r="L305" s="12"/>
      <c r="M305" s="12"/>
      <c r="N305" s="18"/>
      <c r="O305" s="19"/>
      <c r="P305" s="20"/>
      <c r="R305" s="36"/>
      <c r="S305" s="36"/>
      <c r="T305" s="21"/>
    </row>
    <row r="306" spans="1:20" x14ac:dyDescent="0.25">
      <c r="A306" s="9"/>
      <c r="B306" s="10"/>
      <c r="C306" s="50"/>
      <c r="D306" s="32"/>
      <c r="E306" s="58"/>
      <c r="F306" s="41"/>
      <c r="G306" s="15"/>
      <c r="H306" s="53"/>
      <c r="I306" s="11"/>
      <c r="J306" s="55"/>
      <c r="K306" s="12"/>
      <c r="L306" s="12"/>
      <c r="M306" s="12"/>
      <c r="N306" s="18"/>
      <c r="O306" s="19"/>
      <c r="P306" s="20"/>
      <c r="R306" s="36"/>
      <c r="S306" s="36"/>
      <c r="T306" s="21"/>
    </row>
    <row r="307" spans="1:20" x14ac:dyDescent="0.25">
      <c r="A307" s="9"/>
      <c r="B307" s="10"/>
      <c r="C307" s="50"/>
      <c r="D307" s="32"/>
      <c r="E307" s="58"/>
      <c r="F307" s="41"/>
      <c r="G307" s="15"/>
      <c r="H307" s="53"/>
      <c r="I307" s="11"/>
      <c r="J307" s="55"/>
      <c r="K307" s="12"/>
      <c r="L307" s="12"/>
      <c r="M307" s="12"/>
      <c r="N307" s="18"/>
      <c r="O307" s="19"/>
      <c r="P307" s="20"/>
      <c r="R307" s="36"/>
      <c r="S307" s="36"/>
      <c r="T307" s="21"/>
    </row>
    <row r="308" spans="1:20" x14ac:dyDescent="0.25">
      <c r="A308" s="9"/>
      <c r="B308" s="10"/>
      <c r="C308" s="50"/>
      <c r="D308" s="32"/>
      <c r="E308" s="58"/>
      <c r="F308" s="41"/>
      <c r="G308" s="15"/>
      <c r="H308" s="53"/>
      <c r="I308" s="11"/>
      <c r="J308" s="55"/>
      <c r="K308" s="12"/>
      <c r="L308" s="12"/>
      <c r="M308" s="12"/>
      <c r="N308" s="18"/>
      <c r="O308" s="19"/>
      <c r="P308" s="20"/>
      <c r="R308" s="36"/>
      <c r="S308" s="36"/>
      <c r="T308" s="21"/>
    </row>
    <row r="309" spans="1:20" x14ac:dyDescent="0.25">
      <c r="A309" s="9"/>
      <c r="B309" s="10"/>
      <c r="C309" s="50"/>
      <c r="D309" s="32"/>
      <c r="E309" s="58"/>
      <c r="F309" s="41"/>
      <c r="G309" s="15"/>
      <c r="H309" s="53"/>
      <c r="I309" s="11"/>
      <c r="J309" s="55"/>
      <c r="K309" s="12"/>
      <c r="L309" s="12"/>
      <c r="M309" s="12"/>
      <c r="N309" s="18"/>
      <c r="O309" s="19"/>
      <c r="P309" s="20"/>
      <c r="R309" s="36"/>
      <c r="S309" s="36"/>
      <c r="T309" s="21"/>
    </row>
    <row r="310" spans="1:20" x14ac:dyDescent="0.25">
      <c r="A310" s="9"/>
      <c r="B310" s="10"/>
      <c r="C310" s="50"/>
      <c r="D310" s="32"/>
      <c r="E310" s="58"/>
      <c r="F310" s="41"/>
      <c r="G310" s="15"/>
      <c r="H310" s="13"/>
      <c r="I310" s="11"/>
      <c r="J310" s="55"/>
      <c r="K310" s="12"/>
      <c r="L310" s="12"/>
      <c r="M310" s="12"/>
      <c r="N310" s="18"/>
      <c r="O310" s="19"/>
      <c r="P310" s="20"/>
      <c r="R310" s="36"/>
      <c r="S310" s="36"/>
      <c r="T310" s="21"/>
    </row>
  </sheetData>
  <autoFilter ref="A1:T297" xr:uid="{17F09F66-2411-4FD1-8550-3932DB63941F}"/>
  <conditionalFormatting sqref="G272">
    <cfRule type="duplicateValues" dxfId="1" priority="1"/>
  </conditionalFormatting>
  <conditionalFormatting sqref="G2:G265">
    <cfRule type="duplicateValues" dxfId="0" priority="39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Juan Antonio Delgado Quispe</cp:lastModifiedBy>
  <cp:revision/>
  <dcterms:created xsi:type="dcterms:W3CDTF">2025-11-11T13:34:21Z</dcterms:created>
  <dcterms:modified xsi:type="dcterms:W3CDTF">2026-06-08T22:39:44Z</dcterms:modified>
  <cp:category/>
  <cp:contentStatus/>
</cp:coreProperties>
</file>